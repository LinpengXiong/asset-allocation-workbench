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评分总览" sheetId="1" state="visible" r:id="rId1"/>
    <sheet xmlns:r="http://schemas.openxmlformats.org/officeDocument/2006/relationships" name="02_指标录入" sheetId="2" state="visible" r:id="rId2"/>
    <sheet xmlns:r="http://schemas.openxmlformats.org/officeDocument/2006/relationships" name="03_评分标准" sheetId="3" state="visible" r:id="rId3"/>
    <sheet xmlns:r="http://schemas.openxmlformats.org/officeDocument/2006/relationships" name="04_政策原文依据" sheetId="4" state="visible" r:id="rId4"/>
    <sheet xmlns:r="http://schemas.openxmlformats.org/officeDocument/2006/relationships" name="05_历史记录" sheetId="5" state="visible" r:id="rId5"/>
  </sheets>
  <definedNames>
    <definedName name="_xlnm._FilterDatabase" localSheetId="1" hidden="1">'02_指标录入'!$A$7:$M$36</definedName>
    <definedName name="_xlnm._FilterDatabase" localSheetId="2" hidden="1">'03_评分标准'!$A$3:$N$32</definedName>
    <definedName name="_xlnm._FilterDatabase" localSheetId="4" hidden="1">'05_历史记录'!$A$3:$M$27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00"/>
  </numFmts>
  <fonts count="6">
    <font>
      <name val="Calibri"/>
      <family val="2"/>
      <color theme="1"/>
      <sz val="11"/>
      <scheme val="minor"/>
    </font>
    <font>
      <name val="PingFang SC"/>
      <b val="1"/>
      <color rgb="00FFFFFF"/>
      <sz val="17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</font>
  </fonts>
  <fills count="7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4D9"/>
      </patternFill>
    </fill>
    <fill>
      <patternFill patternType="solid">
        <fgColor rgb="00FFFFFF"/>
      </patternFill>
    </fill>
    <fill>
      <patternFill patternType="solid">
        <fgColor rgb="00FBF8F4"/>
      </patternFill>
    </fill>
  </fills>
  <borders count="2">
    <border>
      <left/>
      <right/>
      <top/>
      <bottom/>
      <diagonal/>
    </border>
    <border>
      <bottom style="hair">
        <color rgb="00E5DDD2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164" fontId="0" fillId="4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165" fontId="4" fillId="5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2" fontId="4" fillId="6" borderId="1" applyAlignment="1" pivotButton="0" quotePrefix="0" xfId="0">
      <alignment vertical="center" wrapText="1"/>
    </xf>
    <xf numFmtId="165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0" fontId="4" fillId="6" borderId="1" applyAlignment="1" pivotButton="0" quotePrefix="0" xfId="0">
      <alignment vertical="center" wrapText="1"/>
    </xf>
    <xf numFmtId="166" fontId="4" fillId="6" borderId="1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164" fontId="4" fillId="5" borderId="1" applyAlignment="1" pivotButton="0" quotePrefix="0" xfId="0">
      <alignment vertical="center" wrapText="1"/>
    </xf>
    <xf numFmtId="164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28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6" customWidth="1" min="4" max="4"/>
    <col width="18" customWidth="1" min="5" max="5"/>
    <col width="21" customWidth="1" min="6" max="6"/>
    <col width="16" customWidth="1" min="7" max="7"/>
  </cols>
  <sheetData>
    <row r="1" ht="38" customHeight="1">
      <c r="A1" s="1" t="inlineStr">
        <is>
          <t>中国宏观评级｜评分总览</t>
        </is>
      </c>
    </row>
    <row r="2" ht="33" customHeight="1">
      <c r="A2" s="2" t="inlineStr">
        <is>
          <t>四支柱固定权重30／30／20／20。政策分衡量逆周期动作与改革方向；经济结果由前三支柱验证。本期数值留空。</t>
        </is>
      </c>
    </row>
    <row r="4">
      <c r="A4" t="inlineStr">
        <is>
          <t>信息截止日</t>
        </is>
      </c>
      <c r="B4" s="3" t="n"/>
    </row>
    <row r="6" ht="30" customHeight="1">
      <c r="A6" s="4" t="inlineStr">
        <is>
          <t>支柱</t>
        </is>
      </c>
      <c r="B6" s="4" t="inlineStr">
        <is>
          <t>固定权重</t>
        </is>
      </c>
      <c r="C6" s="4" t="inlineStr">
        <is>
          <t>已核验权重</t>
        </is>
      </c>
      <c r="D6" s="4" t="inlineStr">
        <is>
          <t>覆盖率</t>
        </is>
      </c>
      <c r="E6" s="4" t="inlineStr">
        <is>
          <t>得分贡献</t>
        </is>
      </c>
      <c r="F6" s="4" t="inlineStr">
        <is>
          <t>已覆盖观察分</t>
        </is>
      </c>
      <c r="G6" s="4" t="inlineStr">
        <is>
          <t>状态</t>
        </is>
      </c>
    </row>
    <row r="7" ht="42" customHeight="1">
      <c r="A7" s="5" t="inlineStr">
        <is>
          <t>经济运行</t>
        </is>
      </c>
      <c r="B7" s="6" t="n">
        <v>0.3</v>
      </c>
      <c r="C7" s="6">
        <f>SUMIFS('02_指标录入'!$J$8:$J$36,'02_指标录入'!$B$8:$B$36,A7,'02_指标录入'!$I$8:$I$36,"&gt;=1")</f>
        <v/>
      </c>
      <c r="D7" s="6">
        <f>IFERROR(C7/B7,0)</f>
        <v/>
      </c>
      <c r="E7" s="7">
        <f>SUMIF('02_指标录入'!$B$8:$B$36,A7,'02_指标录入'!$K$8:$K$36)</f>
        <v/>
      </c>
      <c r="F7" s="7">
        <f>IF(C7=0,"",E7/C7)</f>
        <v/>
      </c>
      <c r="G7" s="5">
        <f>IF(D7&gt;=0.7,"可观察","不足")</f>
        <v/>
      </c>
    </row>
    <row r="8" ht="42" customHeight="1">
      <c r="A8" s="8" t="inlineStr">
        <is>
          <t>增长动力</t>
        </is>
      </c>
      <c r="B8" s="9" t="n">
        <v>0.3</v>
      </c>
      <c r="C8" s="9">
        <f>SUMIFS('02_指标录入'!$J$8:$J$36,'02_指标录入'!$B$8:$B$36,A8,'02_指标录入'!$I$8:$I$36,"&gt;=1")</f>
        <v/>
      </c>
      <c r="D8" s="9">
        <f>IFERROR(C8/B8,0)</f>
        <v/>
      </c>
      <c r="E8" s="10">
        <f>SUMIF('02_指标录入'!$B$8:$B$36,A8,'02_指标录入'!$K$8:$K$36)</f>
        <v/>
      </c>
      <c r="F8" s="10">
        <f>IF(C8=0,"",E8/C8)</f>
        <v/>
      </c>
      <c r="G8" s="8">
        <f>IF(D8&gt;=0.7,"可观察","不足")</f>
        <v/>
      </c>
    </row>
    <row r="9" ht="42" customHeight="1">
      <c r="A9" s="5" t="inlineStr">
        <is>
          <t>金融信贷</t>
        </is>
      </c>
      <c r="B9" s="6" t="n">
        <v>0.2</v>
      </c>
      <c r="C9" s="6">
        <f>SUMIFS('02_指标录入'!$J$8:$J$36,'02_指标录入'!$B$8:$B$36,A9,'02_指标录入'!$I$8:$I$36,"&gt;=1")</f>
        <v/>
      </c>
      <c r="D9" s="6">
        <f>IFERROR(C9/B9,0)</f>
        <v/>
      </c>
      <c r="E9" s="7">
        <f>SUMIF('02_指标录入'!$B$8:$B$36,A9,'02_指标录入'!$K$8:$K$36)</f>
        <v/>
      </c>
      <c r="F9" s="7">
        <f>IF(C9=0,"",E9/C9)</f>
        <v/>
      </c>
      <c r="G9" s="5">
        <f>IF(D9&gt;=0.7,"可观察","不足")</f>
        <v/>
      </c>
    </row>
    <row r="10" ht="42" customHeight="1">
      <c r="A10" s="8" t="inlineStr">
        <is>
          <t>宏观调控</t>
        </is>
      </c>
      <c r="B10" s="9" t="n">
        <v>0.2</v>
      </c>
      <c r="C10" s="9">
        <f>SUMIFS('02_指标录入'!$J$8:$J$36,'02_指标录入'!$B$8:$B$36,A10,'02_指标录入'!$I$8:$I$36,"&gt;=1")</f>
        <v/>
      </c>
      <c r="D10" s="9">
        <f>IFERROR(C10/B10,0)</f>
        <v/>
      </c>
      <c r="E10" s="10">
        <f>SUMIF('02_指标录入'!$B$8:$B$36,A10,'02_指标录入'!$K$8:$K$36)</f>
        <v/>
      </c>
      <c r="F10" s="10">
        <f>IF(C10=0,"",E10/C10)</f>
        <v/>
      </c>
      <c r="G10" s="8">
        <f>IF(D10&gt;=0.7,"可观察","不足")</f>
        <v/>
      </c>
    </row>
    <row r="11">
      <c r="B11" s="11" t="n"/>
      <c r="C11" s="11" t="n"/>
      <c r="D11" s="11" t="n"/>
      <c r="E11" s="12" t="n"/>
      <c r="F11" s="12" t="n"/>
    </row>
    <row r="12">
      <c r="A12" t="inlineStr">
        <is>
          <t>四支柱合计</t>
        </is>
      </c>
      <c r="B12" s="11">
        <f>SUM(B7:B10)</f>
        <v/>
      </c>
      <c r="C12" s="11">
        <f>SUM(C7:C10)</f>
        <v/>
      </c>
      <c r="D12" s="11">
        <f>IFERROR(C12/B12,0)</f>
        <v/>
      </c>
      <c r="E12" s="12">
        <f>SUM(E7:E10)</f>
        <v/>
      </c>
      <c r="F12" s="12">
        <f>IF(C12=0,"",E12/C12)</f>
        <v/>
      </c>
    </row>
    <row r="14">
      <c r="A14" s="13" t="inlineStr">
        <is>
          <t>评级状态</t>
        </is>
      </c>
      <c r="B14">
        <f>IF(ROUND(D12,6)=1,"正式",IF(AND(D12&gt;=0.85,COUNTIF(G7:G10,"可观察")=4),"暂定","资料不足"))</f>
        <v/>
      </c>
    </row>
    <row r="15">
      <c r="A15" s="13" t="inlineStr">
        <is>
          <t>正式总分</t>
        </is>
      </c>
      <c r="B15" s="12">
        <f>IF(B14="正式",E12,"")</f>
        <v/>
      </c>
    </row>
    <row r="16">
      <c r="A16" s="13" t="inlineStr">
        <is>
          <t>正式档位</t>
        </is>
      </c>
      <c r="B16">
        <f>IF(B15="","不定正式档",IF(B15&gt;=4.2,"I档 强复苏",IF(B15&gt;=3.4,"II档 温和改善",IF(B15&gt;=2.6,"III档 中性平稳",IF(B15&gt;=1.8,"IV档 偏弱承压","V档 明显下行")))))</f>
        <v/>
      </c>
    </row>
    <row r="18">
      <c r="A18" s="13" t="inlineStr">
        <is>
          <t>基本面观察分</t>
        </is>
      </c>
      <c r="B18" s="12">
        <f>IF(SUM(C7:C9)=0,"",SUM(E7:E9)/SUM(C7:C9))</f>
        <v/>
      </c>
    </row>
    <row r="19">
      <c r="A19" s="13" t="inlineStr">
        <is>
          <t>政策动作观察分</t>
        </is>
      </c>
      <c r="B19" s="12">
        <f>F10</f>
        <v/>
      </c>
    </row>
    <row r="21" ht="30" customHeight="1">
      <c r="A21" s="4" t="inlineStr">
        <is>
          <t>政策细分</t>
        </is>
      </c>
      <c r="B21" s="4" t="inlineStr">
        <is>
          <t>已覆盖观察分</t>
        </is>
      </c>
      <c r="C21" s="4" t="inlineStr">
        <is>
          <t>覆盖率</t>
        </is>
      </c>
    </row>
    <row r="22" ht="42" customHeight="1">
      <c r="A22" s="8" t="inlineStr">
        <is>
          <t>财政政策</t>
        </is>
      </c>
      <c r="B22" s="8">
        <f>IFERROR(SUMIF('02_指标录入'!$C$8:$C$36,A22,'02_指标录入'!$K$8:$K$36)/SUMIFS('02_指标录入'!$J$8:$J$36,'02_指标录入'!$C$8:$C$36,A22,'02_指标录入'!$I$8:$I$36,"&gt;=1"),"")</f>
        <v/>
      </c>
      <c r="C22" s="9">
        <f>IFERROR(SUMIFS('02_指标录入'!$J$8:$J$36,'02_指标录入'!$C$8:$C$36,A22,'02_指标录入'!$I$8:$I$36,"&gt;=1")/(0.2*0.3),0)</f>
        <v/>
      </c>
    </row>
    <row r="23" ht="42" customHeight="1">
      <c r="A23" s="5" t="inlineStr">
        <is>
          <t>货币政策</t>
        </is>
      </c>
      <c r="B23" s="5">
        <f>IFERROR(SUMIF('02_指标录入'!$C$8:$C$36,A23,'02_指标录入'!$K$8:$K$36)/SUMIFS('02_指标录入'!$J$8:$J$36,'02_指标录入'!$C$8:$C$36,A23,'02_指标录入'!$I$8:$I$36,"&gt;=1"),"")</f>
        <v/>
      </c>
      <c r="C23" s="6">
        <f>IFERROR(SUMIFS('02_指标录入'!$J$8:$J$36,'02_指标录入'!$C$8:$C$36,A23,'02_指标录入'!$I$8:$I$36,"&gt;=1")/(0.2*0.3),0)</f>
        <v/>
      </c>
    </row>
    <row r="24" ht="42" customHeight="1">
      <c r="A24" s="8" t="inlineStr">
        <is>
          <t>产业政策</t>
        </is>
      </c>
      <c r="B24" s="8">
        <f>IFERROR(SUMIF('02_指标录入'!$C$8:$C$36,A24,'02_指标录入'!$K$8:$K$36)/SUMIFS('02_指标录入'!$J$8:$J$36,'02_指标录入'!$C$8:$C$36,A24,'02_指标录入'!$I$8:$I$36,"&gt;=1"),"")</f>
        <v/>
      </c>
      <c r="C24" s="9">
        <f>IFERROR(SUMIFS('02_指标录入'!$J$8:$J$36,'02_指标录入'!$C$8:$C$36,A24,'02_指标录入'!$I$8:$I$36,"&gt;=1")/(0.2*0.2),0)</f>
        <v/>
      </c>
    </row>
    <row r="25" ht="42" customHeight="1">
      <c r="A25" s="5" t="inlineStr">
        <is>
          <t>制度建设</t>
        </is>
      </c>
      <c r="B25" s="5">
        <f>IFERROR(SUMIF('02_指标录入'!$C$8:$C$36,A25,'02_指标录入'!$K$8:$K$36)/SUMIFS('02_指标录入'!$J$8:$J$36,'02_指标录入'!$C$8:$C$36,A25,'02_指标录入'!$I$8:$I$36,"&gt;=1"),"")</f>
        <v/>
      </c>
      <c r="C25" s="6">
        <f>IFERROR(SUMIFS('02_指标录入'!$J$8:$J$36,'02_指标录入'!$C$8:$C$36,A25,'02_指标录入'!$I$8:$I$36,"&gt;=1")/(0.2*0.2),0)</f>
        <v/>
      </c>
    </row>
    <row r="28" ht="38" customHeight="1">
      <c r="A28" s="14" t="inlineStr">
        <is>
          <t>缺失项不补3分；观察分只描述已覆盖数据，完整覆盖才产生可比的正式分数。阈值是研究试行标准，不是官方评级。</t>
        </is>
      </c>
    </row>
  </sheetData>
  <mergeCells count="3">
    <mergeCell ref="A2:G2"/>
    <mergeCell ref="A1:G1"/>
    <mergeCell ref="A28:G28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M36"/>
  <sheetViews>
    <sheetView showGridLines="0" workbookViewId="0">
      <pane xSplit="4" ySplit="7" topLeftCell="E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47" customWidth="1" min="4" max="4"/>
    <col width="18" customWidth="1" min="5" max="5"/>
    <col width="18" customWidth="1" min="6" max="6"/>
    <col width="19" customWidth="1" min="7" max="7"/>
    <col width="15" customWidth="1" min="8" max="8"/>
    <col width="13" customWidth="1" min="9" max="9"/>
    <col width="15" customWidth="1" min="10" max="10"/>
    <col width="16" customWidth="1" min="11" max="11"/>
    <col width="54" customWidth="1" min="12" max="12"/>
    <col width="68" customWidth="1" min="13" max="13"/>
  </cols>
  <sheetData>
    <row r="1" ht="38" customHeight="1">
      <c r="A1" s="1" t="inlineStr">
        <is>
          <t>本期指标录入</t>
        </is>
      </c>
    </row>
    <row r="2" ht="33" customHeight="1">
      <c r="A2" s="2" t="inlineStr">
        <is>
          <t>黄色格填统计期、发布日期、观测值、核验状态、官方链接与必要理由。原文评分从“政策原文依据”自动带入；不填本期数据就不生成评级。</t>
        </is>
      </c>
    </row>
    <row r="4" ht="36" customHeight="1">
      <c r="A4" s="14" t="inlineStr">
        <is>
          <t>源顺序：官方原始发布 → 万得 Wind → 财新数据 API；后两级仅在前级无法取得可核验数据时使用，并记录代码、原始机构、期数、单位和口径。</t>
        </is>
      </c>
    </row>
    <row r="7">
      <c r="A7" t="inlineStr">
        <is>
          <t>ID</t>
        </is>
      </c>
      <c r="B7" t="inlineStr">
        <is>
          <t>支柱</t>
        </is>
      </c>
      <c r="C7" t="inlineStr">
        <is>
          <t>类别</t>
        </is>
      </c>
      <c r="D7" t="inlineStr">
        <is>
          <t>核心指标</t>
        </is>
      </c>
      <c r="E7" t="inlineStr">
        <is>
          <t>统计期</t>
        </is>
      </c>
      <c r="F7" t="inlineStr">
        <is>
          <t>发布日期</t>
        </is>
      </c>
      <c r="G7" t="inlineStr">
        <is>
          <t>值／原文分</t>
        </is>
      </c>
      <c r="H7" t="inlineStr">
        <is>
          <t>核验</t>
        </is>
      </c>
      <c r="I7" t="inlineStr">
        <is>
          <t>得分</t>
        </is>
      </c>
      <c r="J7" t="inlineStr">
        <is>
          <t>固定权重</t>
        </is>
      </c>
      <c r="K7" t="inlineStr">
        <is>
          <t>得分贡献</t>
        </is>
      </c>
      <c r="L7" t="inlineStr">
        <is>
          <t>原文链接</t>
        </is>
      </c>
      <c r="M7" t="inlineStr">
        <is>
          <t>口径／评分理由</t>
        </is>
      </c>
    </row>
    <row r="8" ht="42" customHeight="1">
      <c r="A8" s="8" t="inlineStr">
        <is>
          <t>E01</t>
        </is>
      </c>
      <c r="B8" s="8" t="inlineStr">
        <is>
          <t>经济运行</t>
        </is>
      </c>
      <c r="C8" s="8" t="inlineStr">
        <is>
          <t>经济增长</t>
        </is>
      </c>
      <c r="D8" s="8" t="inlineStr">
        <is>
          <t>GDP同比增速（%）</t>
        </is>
      </c>
      <c r="E8" s="15" t="n"/>
      <c r="F8" s="16" t="n"/>
      <c r="G8" s="15" t="n"/>
      <c r="H8" s="15" t="inlineStr">
        <is>
          <t>待核验</t>
        </is>
      </c>
      <c r="I8" s="8">
        <f>IF(OR(NOT(ISNUMBER(G8)),E8="",NOT(ISNUMBER(F8)),F8&lt;=0,H8&lt;&gt;"已核验",L8="",NOT(ISNUMBER('01_评分总览'!$B$4)),F8&gt;'01_评分总览'!$B$4),"",IF(G8&lt;'03_评分标准'!O4,1,IF(G8&lt;'03_评分标准'!P4,2,IF(G8&lt;'03_评分标准'!Q4,3,IF(G8&lt;'03_评分标准'!R4,4,5)))))</f>
        <v/>
      </c>
      <c r="J8" s="17">
        <f>'03_评分标准'!H4</f>
        <v/>
      </c>
      <c r="K8" s="18">
        <f>IF(ISNUMBER(I8),I8*J8,0)</f>
        <v/>
      </c>
      <c r="L8" s="15" t="n"/>
      <c r="M8" s="15" t="n"/>
    </row>
    <row r="9" ht="42" customHeight="1">
      <c r="A9" s="5" t="inlineStr">
        <is>
          <t>E02</t>
        </is>
      </c>
      <c r="B9" s="5" t="inlineStr">
        <is>
          <t>经济运行</t>
        </is>
      </c>
      <c r="C9" s="5" t="inlineStr">
        <is>
          <t>物价水平</t>
        </is>
      </c>
      <c r="D9" s="5" t="inlineStr">
        <is>
          <t>CPI同比（%）</t>
        </is>
      </c>
      <c r="E9" s="15" t="n"/>
      <c r="F9" s="16" t="n"/>
      <c r="G9" s="15" t="n"/>
      <c r="H9" s="15" t="inlineStr">
        <is>
          <t>待核验</t>
        </is>
      </c>
      <c r="I9" s="5">
        <f>IF(OR(NOT(ISNUMBER(G9)),E9="",NOT(ISNUMBER(F9)),F9&lt;=0,H9&lt;&gt;"已核验",L9="",NOT(ISNUMBER('01_评分总览'!$B$4)),F9&gt;'01_评分总览'!$B$4),"",IF(AND(G9&gt;='03_评分标准'!U5,G9&lt;='03_评分标准'!V5),5,IF(AND(G9&gt;='03_评分标准'!S5,G9&lt;='03_评分标准'!T5),4,IF(AND(G9&gt;='03_评分标准'!Q5,G9&lt;='03_评分标准'!R5),3,IF(AND(G9&gt;='03_评分标准'!O5,G9&lt;='03_评分标准'!P5),2,1)))))</f>
        <v/>
      </c>
      <c r="J9" s="19">
        <f>'03_评分标准'!H5</f>
        <v/>
      </c>
      <c r="K9" s="20">
        <f>IF(ISNUMBER(I9),I9*J9,0)</f>
        <v/>
      </c>
      <c r="L9" s="15" t="n"/>
      <c r="M9" s="15" t="n"/>
    </row>
    <row r="10" ht="42" customHeight="1">
      <c r="A10" s="8" t="inlineStr">
        <is>
          <t>E03</t>
        </is>
      </c>
      <c r="B10" s="8" t="inlineStr">
        <is>
          <t>经济运行</t>
        </is>
      </c>
      <c r="C10" s="8" t="inlineStr">
        <is>
          <t>物价水平</t>
        </is>
      </c>
      <c r="D10" s="8" t="inlineStr">
        <is>
          <t>核心CPI同比（%）</t>
        </is>
      </c>
      <c r="E10" s="15" t="n"/>
      <c r="F10" s="16" t="n"/>
      <c r="G10" s="15" t="n"/>
      <c r="H10" s="15" t="inlineStr">
        <is>
          <t>待核验</t>
        </is>
      </c>
      <c r="I10" s="8">
        <f>IF(OR(NOT(ISNUMBER(G10)),E10="",NOT(ISNUMBER(F10)),F10&lt;=0,H10&lt;&gt;"已核验",L10="",NOT(ISNUMBER('01_评分总览'!$B$4)),F10&gt;'01_评分总览'!$B$4),"",IF(AND(G10&gt;='03_评分标准'!U6,G10&lt;='03_评分标准'!V6),5,IF(AND(G10&gt;='03_评分标准'!S6,G10&lt;='03_评分标准'!T6),4,IF(AND(G10&gt;='03_评分标准'!Q6,G10&lt;='03_评分标准'!R6),3,IF(AND(G10&gt;='03_评分标准'!O6,G10&lt;='03_评分标准'!P6),2,1)))))</f>
        <v/>
      </c>
      <c r="J10" s="17">
        <f>'03_评分标准'!H6</f>
        <v/>
      </c>
      <c r="K10" s="18">
        <f>IF(ISNUMBER(I10),I10*J10,0)</f>
        <v/>
      </c>
      <c r="L10" s="15" t="n"/>
      <c r="M10" s="15" t="n"/>
    </row>
    <row r="11" ht="42" customHeight="1">
      <c r="A11" s="5" t="inlineStr">
        <is>
          <t>E04</t>
        </is>
      </c>
      <c r="B11" s="5" t="inlineStr">
        <is>
          <t>经济运行</t>
        </is>
      </c>
      <c r="C11" s="5" t="inlineStr">
        <is>
          <t>物价水平</t>
        </is>
      </c>
      <c r="D11" s="5" t="inlineStr">
        <is>
          <t>PPI同比（%）</t>
        </is>
      </c>
      <c r="E11" s="15" t="n"/>
      <c r="F11" s="16" t="n"/>
      <c r="G11" s="15" t="n"/>
      <c r="H11" s="15" t="inlineStr">
        <is>
          <t>待核验</t>
        </is>
      </c>
      <c r="I11" s="5">
        <f>IF(OR(NOT(ISNUMBER(G11)),E11="",NOT(ISNUMBER(F11)),F11&lt;=0,H11&lt;&gt;"已核验",L11="",NOT(ISNUMBER('01_评分总览'!$B$4)),F11&gt;'01_评分总览'!$B$4),"",IF(AND(G11&gt;='03_评分标准'!U7,G11&lt;='03_评分标准'!V7),5,IF(AND(G11&gt;='03_评分标准'!S7,G11&lt;='03_评分标准'!T7),4,IF(AND(G11&gt;='03_评分标准'!Q7,G11&lt;='03_评分标准'!R7),3,IF(AND(G11&gt;='03_评分标准'!O7,G11&lt;='03_评分标准'!P7),2,1)))))</f>
        <v/>
      </c>
      <c r="J11" s="19">
        <f>'03_评分标准'!H7</f>
        <v/>
      </c>
      <c r="K11" s="20">
        <f>IF(ISNUMBER(I11),I11*J11,0)</f>
        <v/>
      </c>
      <c r="L11" s="15" t="n"/>
      <c r="M11" s="15" t="n"/>
    </row>
    <row r="12" ht="42" customHeight="1">
      <c r="A12" s="8" t="inlineStr">
        <is>
          <t>E05</t>
        </is>
      </c>
      <c r="B12" s="8" t="inlineStr">
        <is>
          <t>经济运行</t>
        </is>
      </c>
      <c r="C12" s="8" t="inlineStr">
        <is>
          <t>就业市场</t>
        </is>
      </c>
      <c r="D12" s="8" t="inlineStr">
        <is>
          <t>城镇调查失业率（%）</t>
        </is>
      </c>
      <c r="E12" s="15" t="n"/>
      <c r="F12" s="16" t="n"/>
      <c r="G12" s="15" t="n"/>
      <c r="H12" s="15" t="inlineStr">
        <is>
          <t>待核验</t>
        </is>
      </c>
      <c r="I12" s="8">
        <f>IF(OR(NOT(ISNUMBER(G12)),E12="",NOT(ISNUMBER(F12)),F12&lt;=0,H12&lt;&gt;"已核验",L12="",NOT(ISNUMBER('01_评分总览'!$B$4)),F12&gt;'01_评分总览'!$B$4),"",IF(G12&lt;'03_评分标准'!O8,5,IF(G12&lt;'03_评分标准'!P8,4,IF(G12&lt;'03_评分标准'!Q8,3,IF(G12&lt;'03_评分标准'!R8,2,1)))))</f>
        <v/>
      </c>
      <c r="J12" s="17">
        <f>'03_评分标准'!H8</f>
        <v/>
      </c>
      <c r="K12" s="18">
        <f>IF(ISNUMBER(I12),I12*J12,0)</f>
        <v/>
      </c>
      <c r="L12" s="15" t="n"/>
      <c r="M12" s="15" t="n"/>
    </row>
    <row r="13" ht="42" customHeight="1">
      <c r="A13" s="5" t="inlineStr">
        <is>
          <t>E06</t>
        </is>
      </c>
      <c r="B13" s="5" t="inlineStr">
        <is>
          <t>经济运行</t>
        </is>
      </c>
      <c r="C13" s="5" t="inlineStr">
        <is>
          <t>景气指数</t>
        </is>
      </c>
      <c r="D13" s="5" t="inlineStr">
        <is>
          <t>综合PMI产出指数</t>
        </is>
      </c>
      <c r="E13" s="15" t="n"/>
      <c r="F13" s="16" t="n"/>
      <c r="G13" s="15" t="n"/>
      <c r="H13" s="15" t="inlineStr">
        <is>
          <t>待核验</t>
        </is>
      </c>
      <c r="I13" s="5">
        <f>IF(OR(NOT(ISNUMBER(G13)),E13="",NOT(ISNUMBER(F13)),F13&lt;=0,H13&lt;&gt;"已核验",L13="",NOT(ISNUMBER('01_评分总览'!$B$4)),F13&gt;'01_评分总览'!$B$4),"",IF(G13&lt;'03_评分标准'!O9,1,IF(G13&lt;'03_评分标准'!P9,2,IF(G13&lt;'03_评分标准'!Q9,3,IF(G13&lt;'03_评分标准'!R9,4,5)))))</f>
        <v/>
      </c>
      <c r="J13" s="19">
        <f>'03_评分标准'!H9</f>
        <v/>
      </c>
      <c r="K13" s="20">
        <f>IF(ISNUMBER(I13),I13*J13,0)</f>
        <v/>
      </c>
      <c r="L13" s="15" t="n"/>
      <c r="M13" s="15" t="n"/>
    </row>
    <row r="14" ht="42" customHeight="1">
      <c r="A14" s="8" t="inlineStr">
        <is>
          <t>G01</t>
        </is>
      </c>
      <c r="B14" s="8" t="inlineStr">
        <is>
          <t>增长动力</t>
        </is>
      </c>
      <c r="C14" s="8" t="inlineStr">
        <is>
          <t>工业生产</t>
        </is>
      </c>
      <c r="D14" s="8" t="inlineStr">
        <is>
          <t>规模以上工业增加值增速（%）</t>
        </is>
      </c>
      <c r="E14" s="15" t="n"/>
      <c r="F14" s="16" t="n"/>
      <c r="G14" s="15" t="n"/>
      <c r="H14" s="15" t="inlineStr">
        <is>
          <t>待核验</t>
        </is>
      </c>
      <c r="I14" s="8">
        <f>IF(OR(NOT(ISNUMBER(G14)),E14="",NOT(ISNUMBER(F14)),F14&lt;=0,H14&lt;&gt;"已核验",L14="",NOT(ISNUMBER('01_评分总览'!$B$4)),F14&gt;'01_评分总览'!$B$4),"",IF(G14&lt;'03_评分标准'!O10,1,IF(G14&lt;'03_评分标准'!P10,2,IF(G14&lt;'03_评分标准'!Q10,3,IF(G14&lt;'03_评分标准'!R10,4,5)))))</f>
        <v/>
      </c>
      <c r="J14" s="17">
        <f>'03_评分标准'!H10</f>
        <v/>
      </c>
      <c r="K14" s="18">
        <f>IF(ISNUMBER(I14),I14*J14,0)</f>
        <v/>
      </c>
      <c r="L14" s="15" t="n"/>
      <c r="M14" s="15" t="n"/>
    </row>
    <row r="15" ht="42" customHeight="1">
      <c r="A15" s="5" t="inlineStr">
        <is>
          <t>G02</t>
        </is>
      </c>
      <c r="B15" s="5" t="inlineStr">
        <is>
          <t>增长动力</t>
        </is>
      </c>
      <c r="C15" s="5" t="inlineStr">
        <is>
          <t>工业生产</t>
        </is>
      </c>
      <c r="D15" s="5" t="inlineStr">
        <is>
          <t>工业企业利润总额增速（%）</t>
        </is>
      </c>
      <c r="E15" s="15" t="n"/>
      <c r="F15" s="16" t="n"/>
      <c r="G15" s="15" t="n"/>
      <c r="H15" s="15" t="inlineStr">
        <is>
          <t>待核验</t>
        </is>
      </c>
      <c r="I15" s="5">
        <f>IF(OR(NOT(ISNUMBER(G15)),E15="",NOT(ISNUMBER(F15)),F15&lt;=0,H15&lt;&gt;"已核验",L15="",NOT(ISNUMBER('01_评分总览'!$B$4)),F15&gt;'01_评分总览'!$B$4),"",IF(G15&lt;'03_评分标准'!O11,1,IF(G15&lt;'03_评分标准'!P11,2,IF(G15&lt;'03_评分标准'!Q11,3,IF(G15&lt;'03_评分标准'!R11,4,5)))))</f>
        <v/>
      </c>
      <c r="J15" s="19">
        <f>'03_评分标准'!H11</f>
        <v/>
      </c>
      <c r="K15" s="20">
        <f>IF(ISNUMBER(I15),I15*J15,0)</f>
        <v/>
      </c>
      <c r="L15" s="15" t="n"/>
      <c r="M15" s="15" t="n"/>
    </row>
    <row r="16" ht="42" customHeight="1">
      <c r="A16" s="8" t="inlineStr">
        <is>
          <t>G03</t>
        </is>
      </c>
      <c r="B16" s="8" t="inlineStr">
        <is>
          <t>增长动力</t>
        </is>
      </c>
      <c r="C16" s="8" t="inlineStr">
        <is>
          <t>房地产</t>
        </is>
      </c>
      <c r="D16" s="8" t="inlineStr">
        <is>
          <t>商品房销售面积增速（%）</t>
        </is>
      </c>
      <c r="E16" s="15" t="n"/>
      <c r="F16" s="16" t="n"/>
      <c r="G16" s="15" t="n"/>
      <c r="H16" s="15" t="inlineStr">
        <is>
          <t>待核验</t>
        </is>
      </c>
      <c r="I16" s="8">
        <f>IF(OR(NOT(ISNUMBER(G16)),E16="",NOT(ISNUMBER(F16)),F16&lt;=0,H16&lt;&gt;"已核验",L16="",NOT(ISNUMBER('01_评分总览'!$B$4)),F16&gt;'01_评分总览'!$B$4),"",IF(G16&lt;'03_评分标准'!O12,1,IF(G16&lt;'03_评分标准'!P12,2,IF(G16&lt;'03_评分标准'!Q12,3,IF(G16&lt;'03_评分标准'!R12,4,5)))))</f>
        <v/>
      </c>
      <c r="J16" s="17">
        <f>'03_评分标准'!H12</f>
        <v/>
      </c>
      <c r="K16" s="18">
        <f>IF(ISNUMBER(I16),I16*J16,0)</f>
        <v/>
      </c>
      <c r="L16" s="15" t="n"/>
      <c r="M16" s="15" t="n"/>
    </row>
    <row r="17" ht="42" customHeight="1">
      <c r="A17" s="5" t="inlineStr">
        <is>
          <t>G04</t>
        </is>
      </c>
      <c r="B17" s="5" t="inlineStr">
        <is>
          <t>增长动力</t>
        </is>
      </c>
      <c r="C17" s="5" t="inlineStr">
        <is>
          <t>房地产</t>
        </is>
      </c>
      <c r="D17" s="5" t="inlineStr">
        <is>
          <t>房屋新开工面积增速（%）</t>
        </is>
      </c>
      <c r="E17" s="15" t="n"/>
      <c r="F17" s="16" t="n"/>
      <c r="G17" s="15" t="n"/>
      <c r="H17" s="15" t="inlineStr">
        <is>
          <t>待核验</t>
        </is>
      </c>
      <c r="I17" s="5">
        <f>IF(OR(NOT(ISNUMBER(G17)),E17="",NOT(ISNUMBER(F17)),F17&lt;=0,H17&lt;&gt;"已核验",L17="",NOT(ISNUMBER('01_评分总览'!$B$4)),F17&gt;'01_评分总览'!$B$4),"",IF(G17&lt;'03_评分标准'!O13,1,IF(G17&lt;'03_评分标准'!P13,2,IF(G17&lt;'03_评分标准'!Q13,3,IF(G17&lt;'03_评分标准'!R13,4,5)))))</f>
        <v/>
      </c>
      <c r="J17" s="19">
        <f>'03_评分标准'!H13</f>
        <v/>
      </c>
      <c r="K17" s="20">
        <f>IF(ISNUMBER(I17),I17*J17,0)</f>
        <v/>
      </c>
      <c r="L17" s="15" t="n"/>
      <c r="M17" s="15" t="n"/>
    </row>
    <row r="18" ht="42" customHeight="1">
      <c r="A18" s="8" t="inlineStr">
        <is>
          <t>G05</t>
        </is>
      </c>
      <c r="B18" s="8" t="inlineStr">
        <is>
          <t>增长动力</t>
        </is>
      </c>
      <c r="C18" s="8" t="inlineStr">
        <is>
          <t>房地产</t>
        </is>
      </c>
      <c r="D18" s="8" t="inlineStr">
        <is>
          <t>房地产开发企业资金来源增速（%）</t>
        </is>
      </c>
      <c r="E18" s="15" t="n"/>
      <c r="F18" s="16" t="n"/>
      <c r="G18" s="15" t="n"/>
      <c r="H18" s="15" t="inlineStr">
        <is>
          <t>待核验</t>
        </is>
      </c>
      <c r="I18" s="8">
        <f>IF(OR(NOT(ISNUMBER(G18)),E18="",NOT(ISNUMBER(F18)),F18&lt;=0,H18&lt;&gt;"已核验",L18="",NOT(ISNUMBER('01_评分总览'!$B$4)),F18&gt;'01_评分总览'!$B$4),"",IF(G18&lt;'03_评分标准'!O14,1,IF(G18&lt;'03_评分标准'!P14,2,IF(G18&lt;'03_评分标准'!Q14,3,IF(G18&lt;'03_评分标准'!R14,4,5)))))</f>
        <v/>
      </c>
      <c r="J18" s="17">
        <f>'03_评分标准'!H14</f>
        <v/>
      </c>
      <c r="K18" s="18">
        <f>IF(ISNUMBER(I18),I18*J18,0)</f>
        <v/>
      </c>
      <c r="L18" s="15" t="n"/>
      <c r="M18" s="15" t="n"/>
    </row>
    <row r="19" ht="42" customHeight="1">
      <c r="A19" s="5" t="inlineStr">
        <is>
          <t>G06</t>
        </is>
      </c>
      <c r="B19" s="5" t="inlineStr">
        <is>
          <t>增长动力</t>
        </is>
      </c>
      <c r="C19" s="5" t="inlineStr">
        <is>
          <t>投资</t>
        </is>
      </c>
      <c r="D19" s="5" t="inlineStr">
        <is>
          <t>固定资产投资（FAI）增速（%）</t>
        </is>
      </c>
      <c r="E19" s="15" t="n"/>
      <c r="F19" s="16" t="n"/>
      <c r="G19" s="15" t="n"/>
      <c r="H19" s="15" t="inlineStr">
        <is>
          <t>待核验</t>
        </is>
      </c>
      <c r="I19" s="5">
        <f>IF(OR(NOT(ISNUMBER(G19)),E19="",NOT(ISNUMBER(F19)),F19&lt;=0,H19&lt;&gt;"已核验",L19="",NOT(ISNUMBER('01_评分总览'!$B$4)),F19&gt;'01_评分总览'!$B$4),"",IF(G19&lt;'03_评分标准'!O15,1,IF(G19&lt;'03_评分标准'!P15,2,IF(G19&lt;'03_评分标准'!Q15,3,IF(G19&lt;'03_评分标准'!R15,4,5)))))</f>
        <v/>
      </c>
      <c r="J19" s="19">
        <f>'03_评分标准'!H15</f>
        <v/>
      </c>
      <c r="K19" s="20">
        <f>IF(ISNUMBER(I19),I19*J19,0)</f>
        <v/>
      </c>
      <c r="L19" s="15" t="n"/>
      <c r="M19" s="15" t="n"/>
    </row>
    <row r="20" ht="42" customHeight="1">
      <c r="A20" s="8" t="inlineStr">
        <is>
          <t>G07</t>
        </is>
      </c>
      <c r="B20" s="8" t="inlineStr">
        <is>
          <t>增长动力</t>
        </is>
      </c>
      <c r="C20" s="8" t="inlineStr">
        <is>
          <t>投资</t>
        </is>
      </c>
      <c r="D20" s="8" t="inlineStr">
        <is>
          <t>制造业投资增速（%）</t>
        </is>
      </c>
      <c r="E20" s="15" t="n"/>
      <c r="F20" s="16" t="n"/>
      <c r="G20" s="15" t="n"/>
      <c r="H20" s="15" t="inlineStr">
        <is>
          <t>待核验</t>
        </is>
      </c>
      <c r="I20" s="8">
        <f>IF(OR(NOT(ISNUMBER(G20)),E20="",NOT(ISNUMBER(F20)),F20&lt;=0,H20&lt;&gt;"已核验",L20="",NOT(ISNUMBER('01_评分总览'!$B$4)),F20&gt;'01_评分总览'!$B$4),"",IF(G20&lt;'03_评分标准'!O16,1,IF(G20&lt;'03_评分标准'!P16,2,IF(G20&lt;'03_评分标准'!Q16,3,IF(G20&lt;'03_评分标准'!R16,4,5)))))</f>
        <v/>
      </c>
      <c r="J20" s="17">
        <f>'03_评分标准'!H16</f>
        <v/>
      </c>
      <c r="K20" s="18">
        <f>IF(ISNUMBER(I20),I20*J20,0)</f>
        <v/>
      </c>
      <c r="L20" s="15" t="n"/>
      <c r="M20" s="15" t="n"/>
    </row>
    <row r="21" ht="42" customHeight="1">
      <c r="A21" s="5" t="inlineStr">
        <is>
          <t>G08</t>
        </is>
      </c>
      <c r="B21" s="5" t="inlineStr">
        <is>
          <t>增长动力</t>
        </is>
      </c>
      <c r="C21" s="5" t="inlineStr">
        <is>
          <t>投资</t>
        </is>
      </c>
      <c r="D21" s="5" t="inlineStr">
        <is>
          <t>民间固定资产投资增速（%）</t>
        </is>
      </c>
      <c r="E21" s="15" t="n"/>
      <c r="F21" s="16" t="n"/>
      <c r="G21" s="15" t="n"/>
      <c r="H21" s="15" t="inlineStr">
        <is>
          <t>待核验</t>
        </is>
      </c>
      <c r="I21" s="5">
        <f>IF(OR(NOT(ISNUMBER(G21)),E21="",NOT(ISNUMBER(F21)),F21&lt;=0,H21&lt;&gt;"已核验",L21="",NOT(ISNUMBER('01_评分总览'!$B$4)),F21&gt;'01_评分总览'!$B$4),"",IF(G21&lt;'03_评分标准'!O17,1,IF(G21&lt;'03_评分标准'!P17,2,IF(G21&lt;'03_评分标准'!Q17,3,IF(G21&lt;'03_评分标准'!R17,4,5)))))</f>
        <v/>
      </c>
      <c r="J21" s="19">
        <f>'03_评分标准'!H17</f>
        <v/>
      </c>
      <c r="K21" s="20">
        <f>IF(ISNUMBER(I21),I21*J21,0)</f>
        <v/>
      </c>
      <c r="L21" s="15" t="n"/>
      <c r="M21" s="15" t="n"/>
    </row>
    <row r="22" ht="42" customHeight="1">
      <c r="A22" s="8" t="inlineStr">
        <is>
          <t>G09</t>
        </is>
      </c>
      <c r="B22" s="8" t="inlineStr">
        <is>
          <t>增长动力</t>
        </is>
      </c>
      <c r="C22" s="8" t="inlineStr">
        <is>
          <t>消费</t>
        </is>
      </c>
      <c r="D22" s="8" t="inlineStr">
        <is>
          <t>社会消费品零售总额增速（%）</t>
        </is>
      </c>
      <c r="E22" s="15" t="n"/>
      <c r="F22" s="16" t="n"/>
      <c r="G22" s="15" t="n"/>
      <c r="H22" s="15" t="inlineStr">
        <is>
          <t>待核验</t>
        </is>
      </c>
      <c r="I22" s="8">
        <f>IF(OR(NOT(ISNUMBER(G22)),E22="",NOT(ISNUMBER(F22)),F22&lt;=0,H22&lt;&gt;"已核验",L22="",NOT(ISNUMBER('01_评分总览'!$B$4)),F22&gt;'01_评分总览'!$B$4),"",IF(G22&lt;'03_评分标准'!O18,1,IF(G22&lt;'03_评分标准'!P18,2,IF(G22&lt;'03_评分标准'!Q18,3,IF(G22&lt;'03_评分标准'!R18,4,5)))))</f>
        <v/>
      </c>
      <c r="J22" s="17">
        <f>'03_评分标准'!H18</f>
        <v/>
      </c>
      <c r="K22" s="18">
        <f>IF(ISNUMBER(I22),I22*J22,0)</f>
        <v/>
      </c>
      <c r="L22" s="15" t="n"/>
      <c r="M22" s="15" t="n"/>
    </row>
    <row r="23" ht="42" customHeight="1">
      <c r="A23" s="5" t="inlineStr">
        <is>
          <t>G10</t>
        </is>
      </c>
      <c r="B23" s="5" t="inlineStr">
        <is>
          <t>增长动力</t>
        </is>
      </c>
      <c r="C23" s="5" t="inlineStr">
        <is>
          <t>进出口</t>
        </is>
      </c>
      <c r="D23" s="5" t="inlineStr">
        <is>
          <t>出口金额增速（美元计，%）</t>
        </is>
      </c>
      <c r="E23" s="15" t="n"/>
      <c r="F23" s="16" t="n"/>
      <c r="G23" s="15" t="n"/>
      <c r="H23" s="15" t="inlineStr">
        <is>
          <t>待核验</t>
        </is>
      </c>
      <c r="I23" s="5">
        <f>IF(OR(NOT(ISNUMBER(G23)),E23="",NOT(ISNUMBER(F23)),F23&lt;=0,H23&lt;&gt;"已核验",L23="",NOT(ISNUMBER('01_评分总览'!$B$4)),F23&gt;'01_评分总览'!$B$4),"",IF(G23&lt;'03_评分标准'!O19,1,IF(G23&lt;'03_评分标准'!P19,2,IF(G23&lt;'03_评分标准'!Q19,3,IF(G23&lt;'03_评分标准'!R19,4,5)))))</f>
        <v/>
      </c>
      <c r="J23" s="19">
        <f>'03_评分标准'!H19</f>
        <v/>
      </c>
      <c r="K23" s="20">
        <f>IF(ISNUMBER(I23),I23*J23,0)</f>
        <v/>
      </c>
      <c r="L23" s="15" t="n"/>
      <c r="M23" s="15" t="n"/>
    </row>
    <row r="24" ht="42" customHeight="1">
      <c r="A24" s="8" t="inlineStr">
        <is>
          <t>F01</t>
        </is>
      </c>
      <c r="B24" s="8" t="inlineStr">
        <is>
          <t>金融信贷</t>
        </is>
      </c>
      <c r="C24" s="8" t="inlineStr">
        <is>
          <t>信贷结构</t>
        </is>
      </c>
      <c r="D24" s="8" t="inlineStr">
        <is>
          <t>居民中长期贷款近3月同比多增（亿元）</t>
        </is>
      </c>
      <c r="E24" s="15" t="n"/>
      <c r="F24" s="16" t="n"/>
      <c r="G24" s="15" t="n"/>
      <c r="H24" s="15" t="inlineStr">
        <is>
          <t>待核验</t>
        </is>
      </c>
      <c r="I24" s="8">
        <f>IF(OR(NOT(ISNUMBER(G24)),E24="",NOT(ISNUMBER(F24)),F24&lt;=0,H24&lt;&gt;"已核验",L24="",NOT(ISNUMBER('01_评分总览'!$B$4)),F24&gt;'01_评分总览'!$B$4),"",IF(G24&lt;'03_评分标准'!O20,1,IF(G24&lt;'03_评分标准'!P20,2,IF(G24&lt;'03_评分标准'!Q20,3,IF(G24&lt;'03_评分标准'!R20,4,5)))))</f>
        <v/>
      </c>
      <c r="J24" s="17">
        <f>'03_评分标准'!H20</f>
        <v/>
      </c>
      <c r="K24" s="18">
        <f>IF(ISNUMBER(I24),I24*J24,0)</f>
        <v/>
      </c>
      <c r="L24" s="15" t="n"/>
      <c r="M24" s="15" t="n"/>
    </row>
    <row r="25" ht="42" customHeight="1">
      <c r="A25" s="5" t="inlineStr">
        <is>
          <t>F02</t>
        </is>
      </c>
      <c r="B25" s="5" t="inlineStr">
        <is>
          <t>金融信贷</t>
        </is>
      </c>
      <c r="C25" s="5" t="inlineStr">
        <is>
          <t>信贷结构</t>
        </is>
      </c>
      <c r="D25" s="5" t="inlineStr">
        <is>
          <t>企业中长期贷款近3月同比多增（亿元）</t>
        </is>
      </c>
      <c r="E25" s="15" t="n"/>
      <c r="F25" s="16" t="n"/>
      <c r="G25" s="15" t="n"/>
      <c r="H25" s="15" t="inlineStr">
        <is>
          <t>待核验</t>
        </is>
      </c>
      <c r="I25" s="5">
        <f>IF(OR(NOT(ISNUMBER(G25)),E25="",NOT(ISNUMBER(F25)),F25&lt;=0,H25&lt;&gt;"已核验",L25="",NOT(ISNUMBER('01_评分总览'!$B$4)),F25&gt;'01_评分总览'!$B$4),"",IF(G25&lt;'03_评分标准'!O21,1,IF(G25&lt;'03_评分标准'!P21,2,IF(G25&lt;'03_评分标准'!Q21,3,IF(G25&lt;'03_评分标准'!R21,4,5)))))</f>
        <v/>
      </c>
      <c r="J25" s="19">
        <f>'03_评分标准'!H21</f>
        <v/>
      </c>
      <c r="K25" s="20">
        <f>IF(ISNUMBER(I25),I25*J25,0)</f>
        <v/>
      </c>
      <c r="L25" s="15" t="n"/>
      <c r="M25" s="15" t="n"/>
    </row>
    <row r="26" ht="42" customHeight="1">
      <c r="A26" s="8" t="inlineStr">
        <is>
          <t>F03</t>
        </is>
      </c>
      <c r="B26" s="8" t="inlineStr">
        <is>
          <t>金融信贷</t>
        </is>
      </c>
      <c r="C26" s="8" t="inlineStr">
        <is>
          <t>社会融资</t>
        </is>
      </c>
      <c r="D26" s="8" t="inlineStr">
        <is>
          <t>社融规模存量增速（%）</t>
        </is>
      </c>
      <c r="E26" s="15" t="n"/>
      <c r="F26" s="16" t="n"/>
      <c r="G26" s="15" t="n"/>
      <c r="H26" s="15" t="inlineStr">
        <is>
          <t>待核验</t>
        </is>
      </c>
      <c r="I26" s="8">
        <f>IF(OR(NOT(ISNUMBER(G26)),E26="",NOT(ISNUMBER(F26)),F26&lt;=0,H26&lt;&gt;"已核验",L26="",NOT(ISNUMBER('01_评分总览'!$B$4)),F26&gt;'01_评分总览'!$B$4),"",IF(G26&lt;'03_评分标准'!O22,1,IF(G26&lt;'03_评分标准'!P22,2,IF(G26&lt;'03_评分标准'!Q22,3,IF(G26&lt;'03_评分标准'!R22,4,5)))))</f>
        <v/>
      </c>
      <c r="J26" s="17">
        <f>'03_评分标准'!H22</f>
        <v/>
      </c>
      <c r="K26" s="18">
        <f>IF(ISNUMBER(I26),I26*J26,0)</f>
        <v/>
      </c>
      <c r="L26" s="15" t="n"/>
      <c r="M26" s="15" t="n"/>
    </row>
    <row r="27" ht="42" customHeight="1">
      <c r="A27" s="5" t="inlineStr">
        <is>
          <t>F04</t>
        </is>
      </c>
      <c r="B27" s="5" t="inlineStr">
        <is>
          <t>金融信贷</t>
        </is>
      </c>
      <c r="C27" s="5" t="inlineStr">
        <is>
          <t>社会融资</t>
        </is>
      </c>
      <c r="D27" s="5" t="inlineStr">
        <is>
          <t>人民币贷款存量增速（%）</t>
        </is>
      </c>
      <c r="E27" s="15" t="n"/>
      <c r="F27" s="16" t="n"/>
      <c r="G27" s="15" t="n"/>
      <c r="H27" s="15" t="inlineStr">
        <is>
          <t>待核验</t>
        </is>
      </c>
      <c r="I27" s="5">
        <f>IF(OR(NOT(ISNUMBER(G27)),E27="",NOT(ISNUMBER(F27)),F27&lt;=0,H27&lt;&gt;"已核验",L27="",NOT(ISNUMBER('01_评分总览'!$B$4)),F27&gt;'01_评分总览'!$B$4),"",IF(G27&lt;'03_评分标准'!O23,1,IF(G27&lt;'03_评分标准'!P23,2,IF(G27&lt;'03_评分标准'!Q23,3,IF(G27&lt;'03_评分标准'!R23,4,5)))))</f>
        <v/>
      </c>
      <c r="J27" s="19">
        <f>'03_评分标准'!H23</f>
        <v/>
      </c>
      <c r="K27" s="20">
        <f>IF(ISNUMBER(I27),I27*J27,0)</f>
        <v/>
      </c>
      <c r="L27" s="15" t="n"/>
      <c r="M27" s="15" t="n"/>
    </row>
    <row r="28" ht="42" customHeight="1">
      <c r="A28" s="8" t="inlineStr">
        <is>
          <t>F05</t>
        </is>
      </c>
      <c r="B28" s="8" t="inlineStr">
        <is>
          <t>金融信贷</t>
        </is>
      </c>
      <c r="C28" s="8" t="inlineStr">
        <is>
          <t>货币供给</t>
        </is>
      </c>
      <c r="D28" s="8" t="inlineStr">
        <is>
          <t>M1-M2剪刀差</t>
        </is>
      </c>
      <c r="E28" s="15" t="n"/>
      <c r="F28" s="16" t="n"/>
      <c r="G28" s="15" t="n"/>
      <c r="H28" s="15" t="inlineStr">
        <is>
          <t>待核验</t>
        </is>
      </c>
      <c r="I28" s="8">
        <f>IF(OR(NOT(ISNUMBER(G28)),E28="",NOT(ISNUMBER(F28)),F28&lt;=0,H28&lt;&gt;"已核验",L28="",NOT(ISNUMBER('01_评分总览'!$B$4)),F28&gt;'01_评分总览'!$B$4),"",IF(AND(G28&gt;='03_评分标准'!U24,G28&lt;='03_评分标准'!V24),5,IF(AND(G28&gt;='03_评分标准'!S24,G28&lt;='03_评分标准'!T24),4,IF(AND(G28&gt;='03_评分标准'!Q24,G28&lt;='03_评分标准'!R24),3,IF(AND(G28&gt;='03_评分标准'!O24,G28&lt;='03_评分标准'!P24),2,1)))))</f>
        <v/>
      </c>
      <c r="J28" s="17">
        <f>'03_评分标准'!H24</f>
        <v/>
      </c>
      <c r="K28" s="18">
        <f>IF(ISNUMBER(I28),I28*J28,0)</f>
        <v/>
      </c>
      <c r="L28" s="15" t="n"/>
      <c r="M28" s="15" t="n"/>
    </row>
    <row r="29" ht="42" customHeight="1">
      <c r="A29" s="5" t="inlineStr">
        <is>
          <t>P01A</t>
        </is>
      </c>
      <c r="B29" s="5" t="inlineStr">
        <is>
          <t>宏观调控</t>
        </is>
      </c>
      <c r="C29" s="5" t="inlineStr">
        <is>
          <t>财政政策</t>
        </is>
      </c>
      <c r="D29" s="5" t="inlineStr">
        <is>
          <t>新增财政融资工具占GDP比重同比变动</t>
        </is>
      </c>
      <c r="E29" s="15" t="n"/>
      <c r="F29" s="16" t="n"/>
      <c r="G29" s="15" t="n"/>
      <c r="H29" s="15" t="inlineStr">
        <is>
          <t>待核验</t>
        </is>
      </c>
      <c r="I29" s="5">
        <f>IF(OR(NOT(ISNUMBER(G29)),E29="",NOT(ISNUMBER(F29)),F29&lt;=0,H29&lt;&gt;"已核验",L29="",NOT(ISNUMBER('01_评分总览'!$B$4)),F29&gt;'01_评分总览'!$B$4),"",IF(G29&lt;'03_评分标准'!O25,1,IF(G29&lt;'03_评分标准'!P25,2,IF(G29&lt;'03_评分标准'!Q25,3,IF(G29&lt;'03_评分标准'!R25,4,5)))))</f>
        <v/>
      </c>
      <c r="J29" s="19">
        <f>'03_评分标准'!H25</f>
        <v/>
      </c>
      <c r="K29" s="20">
        <f>IF(ISNUMBER(I29),I29*J29,0)</f>
        <v/>
      </c>
      <c r="L29" s="15" t="n"/>
      <c r="M29" s="15" t="n"/>
    </row>
    <row r="30" ht="42" customHeight="1">
      <c r="A30" s="8" t="inlineStr">
        <is>
          <t>P01B</t>
        </is>
      </c>
      <c r="B30" s="8" t="inlineStr">
        <is>
          <t>宏观调控</t>
        </is>
      </c>
      <c r="C30" s="8" t="inlineStr">
        <is>
          <t>财政政策</t>
        </is>
      </c>
      <c r="D30" s="8" t="inlineStr">
        <is>
          <t>一般公共预算支出执行进度同比变动</t>
        </is>
      </c>
      <c r="E30" s="15" t="n"/>
      <c r="F30" s="16" t="n"/>
      <c r="G30" s="15" t="n"/>
      <c r="H30" s="15" t="inlineStr">
        <is>
          <t>待核验</t>
        </is>
      </c>
      <c r="I30" s="8">
        <f>IF(OR(NOT(ISNUMBER(G30)),E30="",NOT(ISNUMBER(F30)),F30&lt;=0,H30&lt;&gt;"已核验",L30="",NOT(ISNUMBER('01_评分总览'!$B$4)),F30&gt;'01_评分总览'!$B$4),"",IF(G30&lt;'03_评分标准'!O26,1,IF(G30&lt;'03_评分标准'!P26,2,IF(G30&lt;'03_评分标准'!Q26,3,IF(G30&lt;'03_评分标准'!R26,4,5)))))</f>
        <v/>
      </c>
      <c r="J30" s="17">
        <f>'03_评分标准'!H26</f>
        <v/>
      </c>
      <c r="K30" s="18">
        <f>IF(ISNUMBER(I30),I30*J30,0)</f>
        <v/>
      </c>
      <c r="L30" s="15" t="n"/>
      <c r="M30" s="15" t="n"/>
    </row>
    <row r="31" ht="42" customHeight="1">
      <c r="A31" s="5" t="inlineStr">
        <is>
          <t>P01C</t>
        </is>
      </c>
      <c r="B31" s="5" t="inlineStr">
        <is>
          <t>宏观调控</t>
        </is>
      </c>
      <c r="C31" s="5" t="inlineStr">
        <is>
          <t>财政政策</t>
        </is>
      </c>
      <c r="D31" s="5" t="inlineStr">
        <is>
          <t>新增地方专项债发行进度同比变动</t>
        </is>
      </c>
      <c r="E31" s="15" t="n"/>
      <c r="F31" s="16" t="n"/>
      <c r="G31" s="15" t="n"/>
      <c r="H31" s="15" t="inlineStr">
        <is>
          <t>待核验</t>
        </is>
      </c>
      <c r="I31" s="5">
        <f>IF(OR(NOT(ISNUMBER(G31)),E31="",NOT(ISNUMBER(F31)),F31&lt;=0,H31&lt;&gt;"已核验",L31="",NOT(ISNUMBER('01_评分总览'!$B$4)),F31&gt;'01_评分总览'!$B$4),"",IF(G31&lt;'03_评分标准'!O27,1,IF(G31&lt;'03_评分标准'!P27,2,IF(G31&lt;'03_评分标准'!Q27,3,IF(G31&lt;'03_评分标准'!R27,4,5)))))</f>
        <v/>
      </c>
      <c r="J31" s="19">
        <f>'03_评分标准'!H27</f>
        <v/>
      </c>
      <c r="K31" s="20">
        <f>IF(ISNUMBER(I31),I31*J31,0)</f>
        <v/>
      </c>
      <c r="L31" s="15" t="n"/>
      <c r="M31" s="15" t="n"/>
    </row>
    <row r="32" ht="42" customHeight="1">
      <c r="A32" s="8" t="inlineStr">
        <is>
          <t>P02A</t>
        </is>
      </c>
      <c r="B32" s="8" t="inlineStr">
        <is>
          <t>宏观调控</t>
        </is>
      </c>
      <c r="C32" s="8" t="inlineStr">
        <is>
          <t>货币政策</t>
        </is>
      </c>
      <c r="D32" s="8" t="inlineStr">
        <is>
          <t>7天逆回购政策利率近6个月变动</t>
        </is>
      </c>
      <c r="E32" s="15" t="n"/>
      <c r="F32" s="16" t="n"/>
      <c r="G32" s="15" t="n"/>
      <c r="H32" s="15" t="inlineStr">
        <is>
          <t>待核验</t>
        </is>
      </c>
      <c r="I32" s="8">
        <f>IF(OR(NOT(ISNUMBER(G32)),E32="",NOT(ISNUMBER(F32)),F32&lt;=0,H32&lt;&gt;"已核验",L32="",NOT(ISNUMBER('01_评分总览'!$B$4)),F32&gt;'01_评分总览'!$B$4),"",IF(G32&lt;'03_评分标准'!O28,5,IF(G32&lt;'03_评分标准'!P28,4,IF(G32&lt;'03_评分标准'!Q28,3,IF(G32&lt;'03_评分标准'!R28,2,1)))))</f>
        <v/>
      </c>
      <c r="J32" s="17">
        <f>'03_评分标准'!H28</f>
        <v/>
      </c>
      <c r="K32" s="18">
        <f>IF(ISNUMBER(I32),I32*J32,0)</f>
        <v/>
      </c>
      <c r="L32" s="15" t="n"/>
      <c r="M32" s="15" t="n"/>
    </row>
    <row r="33" ht="42" customHeight="1">
      <c r="A33" s="5" t="inlineStr">
        <is>
          <t>P02B</t>
        </is>
      </c>
      <c r="B33" s="5" t="inlineStr">
        <is>
          <t>宏观调控</t>
        </is>
      </c>
      <c r="C33" s="5" t="inlineStr">
        <is>
          <t>货币政策</t>
        </is>
      </c>
      <c r="D33" s="5" t="inlineStr">
        <is>
          <t>法定存款准备金率近6个月变动</t>
        </is>
      </c>
      <c r="E33" s="15" t="n"/>
      <c r="F33" s="16" t="n"/>
      <c r="G33" s="15" t="n"/>
      <c r="H33" s="15" t="inlineStr">
        <is>
          <t>待核验</t>
        </is>
      </c>
      <c r="I33" s="5">
        <f>IF(OR(NOT(ISNUMBER(G33)),E33="",NOT(ISNUMBER(F33)),F33&lt;=0,H33&lt;&gt;"已核验",L33="",NOT(ISNUMBER('01_评分总览'!$B$4)),F33&gt;'01_评分总览'!$B$4),"",IF(G33&lt;'03_评分标准'!O29,5,IF(G33&lt;'03_评分标准'!P29,4,IF(G33&lt;'03_评分标准'!Q29,3,IF(G33&lt;'03_评分标准'!R29,2,1)))))</f>
        <v/>
      </c>
      <c r="J33" s="19">
        <f>'03_评分标准'!H29</f>
        <v/>
      </c>
      <c r="K33" s="20">
        <f>IF(ISNUMBER(I33),I33*J33,0)</f>
        <v/>
      </c>
      <c r="L33" s="15" t="n"/>
      <c r="M33" s="15" t="n"/>
    </row>
    <row r="34" ht="42" customHeight="1">
      <c r="A34" s="8" t="inlineStr">
        <is>
          <t>P02C</t>
        </is>
      </c>
      <c r="B34" s="8" t="inlineStr">
        <is>
          <t>宏观调控</t>
        </is>
      </c>
      <c r="C34" s="8" t="inlineStr">
        <is>
          <t>货币政策</t>
        </is>
      </c>
      <c r="D34" s="8" t="inlineStr">
        <is>
          <t>结构性货币政策工具近3月净投放/GDP</t>
        </is>
      </c>
      <c r="E34" s="15" t="n"/>
      <c r="F34" s="16" t="n"/>
      <c r="G34" s="15" t="n"/>
      <c r="H34" s="15" t="inlineStr">
        <is>
          <t>待核验</t>
        </is>
      </c>
      <c r="I34" s="8">
        <f>IF(OR(NOT(ISNUMBER(G34)),E34="",NOT(ISNUMBER(F34)),F34&lt;=0,H34&lt;&gt;"已核验",L34="",NOT(ISNUMBER('01_评分总览'!$B$4)),F34&gt;'01_评分总览'!$B$4),"",IF(G34&lt;'03_评分标准'!O30,1,IF(G34&lt;'03_评分标准'!P30,2,IF(G34&lt;'03_评分标准'!Q30,3,IF(G34&lt;'03_评分标准'!R30,4,5)))))</f>
        <v/>
      </c>
      <c r="J34" s="17">
        <f>'03_评分标准'!H30</f>
        <v/>
      </c>
      <c r="K34" s="18">
        <f>IF(ISNUMBER(I34),I34*J34,0)</f>
        <v/>
      </c>
      <c r="L34" s="15" t="n"/>
      <c r="M34" s="15" t="n"/>
    </row>
    <row r="35" ht="42" customHeight="1">
      <c r="A35" s="5" t="inlineStr">
        <is>
          <t>P03</t>
        </is>
      </c>
      <c r="B35" s="5" t="inlineStr">
        <is>
          <t>宏观调控</t>
        </is>
      </c>
      <c r="C35" s="5" t="inlineStr">
        <is>
          <t>产业政策</t>
        </is>
      </c>
      <c r="D35" s="5" t="inlineStr">
        <is>
          <t>产业政策方向与工具</t>
        </is>
      </c>
      <c r="E35" s="5">
        <f>'04_政策原文依据'!B5</f>
        <v/>
      </c>
      <c r="F35" s="21">
        <f>'04_政策原文依据'!C5</f>
        <v/>
      </c>
      <c r="G35" s="5">
        <f>'04_政策原文依据'!H5</f>
        <v/>
      </c>
      <c r="H35" s="5">
        <f>'04_政策原文依据'!I5</f>
        <v/>
      </c>
      <c r="I35" s="5">
        <f>IF(OR(NOT(ISNUMBER(G35)),E35="",NOT(ISNUMBER(F35)),F35&lt;=0,H35&lt;&gt;"已核验",L35="",NOT(ISNUMBER('01_评分总览'!$B$4)),F35&gt;'01_评分总览'!$B$4,'04_政策原文依据'!B5="",'04_政策原文依据'!C5="",'04_政策原文依据'!D5="",'04_政策原文依据'!E5="",'04_政策原文依据'!F5="",'04_政策原文依据'!G5="",G35&lt;1,G35&gt;5,MOD(G35,1)&lt;&gt;0),"",G35)</f>
        <v/>
      </c>
      <c r="J35" s="19">
        <f>'03_评分标准'!H31</f>
        <v/>
      </c>
      <c r="K35" s="20">
        <f>IF(ISNUMBER(I35),I35*J35,0)</f>
        <v/>
      </c>
      <c r="L35" s="5">
        <f>'04_政策原文依据'!D5</f>
        <v/>
      </c>
      <c r="M35" s="5">
        <f>'04_政策原文依据'!G5</f>
        <v/>
      </c>
    </row>
    <row r="36" ht="42" customHeight="1">
      <c r="A36" s="8" t="inlineStr">
        <is>
          <t>P04</t>
        </is>
      </c>
      <c r="B36" s="8" t="inlineStr">
        <is>
          <t>宏观调控</t>
        </is>
      </c>
      <c r="C36" s="8" t="inlineStr">
        <is>
          <t>制度建设</t>
        </is>
      </c>
      <c r="D36" s="8" t="inlineStr">
        <is>
          <t>制度建设方向与规则</t>
        </is>
      </c>
      <c r="E36" s="8">
        <f>'04_政策原文依据'!B6</f>
        <v/>
      </c>
      <c r="F36" s="22">
        <f>'04_政策原文依据'!C6</f>
        <v/>
      </c>
      <c r="G36" s="8">
        <f>'04_政策原文依据'!H6</f>
        <v/>
      </c>
      <c r="H36" s="8">
        <f>'04_政策原文依据'!I6</f>
        <v/>
      </c>
      <c r="I36" s="8">
        <f>IF(OR(NOT(ISNUMBER(G36)),E36="",NOT(ISNUMBER(F36)),F36&lt;=0,H36&lt;&gt;"已核验",L36="",NOT(ISNUMBER('01_评分总览'!$B$4)),F36&gt;'01_评分总览'!$B$4,'04_政策原文依据'!B6="",'04_政策原文依据'!C6="",'04_政策原文依据'!D6="",'04_政策原文依据'!E6="",'04_政策原文依据'!F6="",'04_政策原文依据'!G6="",G36&lt;1,G36&gt;5,MOD(G36,1)&lt;&gt;0),"",G36)</f>
        <v/>
      </c>
      <c r="J36" s="17">
        <f>'03_评分标准'!H32</f>
        <v/>
      </c>
      <c r="K36" s="18">
        <f>IF(ISNUMBER(I36),I36*J36,0)</f>
        <v/>
      </c>
      <c r="L36" s="8">
        <f>'04_政策原文依据'!D6</f>
        <v/>
      </c>
      <c r="M36" s="8">
        <f>'04_政策原文依据'!G6</f>
        <v/>
      </c>
    </row>
  </sheetData>
  <autoFilter ref="A7:M36"/>
  <mergeCells count="3">
    <mergeCell ref="A4:M4"/>
    <mergeCell ref="A2:M2"/>
    <mergeCell ref="A1:M1"/>
  </mergeCells>
  <conditionalFormatting sqref="I8:I36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1">
    <dataValidation sqref="H8:H34" showDropDown="0" showInputMessage="0" showErrorMessage="0" allowBlank="0" type="list">
      <formula1>"待核验,已核验,不可用"</formula1>
    </dataValidation>
  </dataValidation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V32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16" customWidth="1" min="3" max="3"/>
    <col width="45" customWidth="1" min="4" max="4"/>
    <col width="20" customWidth="1" min="5" max="5"/>
    <col width="15" customWidth="1" min="6" max="6"/>
    <col width="15" customWidth="1" min="7" max="7"/>
    <col width="15" customWidth="1" min="8" max="8"/>
    <col width="31" customWidth="1" min="9" max="9"/>
    <col width="31" customWidth="1" min="10" max="10"/>
    <col width="31" customWidth="1" min="11" max="11"/>
    <col width="31" customWidth="1" min="12" max="12"/>
    <col width="31" customWidth="1" min="13" max="13"/>
    <col width="85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38" customHeight="1">
      <c r="A1" s="1" t="inlineStr">
        <is>
          <t>五档评分标准</t>
        </is>
      </c>
    </row>
    <row r="2" ht="33" customHeight="1">
      <c r="A2" s="2" t="inlineStr">
        <is>
          <t>一行一个核心指标；数字阈值和文本口径完整保留。财政、货币共六项量化规则；产业、制度沿用正式原文分档。隐藏的参数列只供自动计算。</t>
        </is>
      </c>
    </row>
    <row r="3" ht="30" customHeight="1">
      <c r="A3" s="4" t="inlineStr">
        <is>
          <t>ID</t>
        </is>
      </c>
      <c r="B3" s="4" t="inlineStr">
        <is>
          <t>支柱</t>
        </is>
      </c>
      <c r="C3" s="4" t="inlineStr">
        <is>
          <t>类别</t>
        </is>
      </c>
      <c r="D3" s="4" t="inlineStr">
        <is>
          <t>核心指标</t>
        </is>
      </c>
      <c r="E3" s="4" t="inlineStr">
        <is>
          <t>频率</t>
        </is>
      </c>
      <c r="F3" s="4" t="inlineStr">
        <is>
          <t>单位</t>
        </is>
      </c>
      <c r="G3" s="4" t="inlineStr">
        <is>
          <t>规则方向</t>
        </is>
      </c>
      <c r="H3" s="4" t="inlineStr">
        <is>
          <t>固定权重</t>
        </is>
      </c>
      <c r="I3" s="4" t="inlineStr">
        <is>
          <t>1分</t>
        </is>
      </c>
      <c r="J3" s="4" t="inlineStr">
        <is>
          <t>2分</t>
        </is>
      </c>
      <c r="K3" s="4" t="inlineStr">
        <is>
          <t>3分</t>
        </is>
      </c>
      <c r="L3" s="4" t="inlineStr">
        <is>
          <t>4分</t>
        </is>
      </c>
      <c r="M3" s="4" t="inlineStr">
        <is>
          <t>5分</t>
        </is>
      </c>
      <c r="N3" s="4" t="inlineStr">
        <is>
          <t>口径与边界</t>
        </is>
      </c>
    </row>
    <row r="4" ht="42" customHeight="1">
      <c r="A4" s="8" t="inlineStr">
        <is>
          <t>E01</t>
        </is>
      </c>
      <c r="B4" s="8" t="inlineStr">
        <is>
          <t>经济运行</t>
        </is>
      </c>
      <c r="C4" s="8" t="inlineStr">
        <is>
          <t>经济增长</t>
        </is>
      </c>
      <c r="D4" s="8" t="inlineStr">
        <is>
          <t>GDP同比增速（%）</t>
        </is>
      </c>
      <c r="E4" s="8" t="inlineStr">
        <is>
          <t>季度</t>
        </is>
      </c>
      <c r="F4" s="8" t="inlineStr">
        <is>
          <t>%</t>
        </is>
      </c>
      <c r="G4" s="8" t="inlineStr">
        <is>
          <t>高优</t>
        </is>
      </c>
      <c r="H4" s="17" t="n">
        <v>0.09</v>
      </c>
      <c r="I4" s="8" t="inlineStr">
        <is>
          <t>&lt;3 %</t>
        </is>
      </c>
      <c r="J4" s="8" t="inlineStr">
        <is>
          <t>[3,4) %</t>
        </is>
      </c>
      <c r="K4" s="8" t="inlineStr">
        <is>
          <t>[4,5) %</t>
        </is>
      </c>
      <c r="L4" s="8" t="inlineStr">
        <is>
          <t>[5,6) %</t>
        </is>
      </c>
      <c r="M4" s="8" t="inlineStr">
        <is>
          <t>≥6 %</t>
        </is>
      </c>
      <c r="N4" s="8" t="inlineStr">
        <is>
          <t>不变价、当季/累计口径需固定；年度增长目标变化时重审阈值；初步核算及修订分开留档</t>
        </is>
      </c>
      <c r="O4" t="n">
        <v>3</v>
      </c>
      <c r="P4" t="n">
        <v>4</v>
      </c>
      <c r="Q4" t="n">
        <v>5</v>
      </c>
      <c r="R4" t="n">
        <v>6</v>
      </c>
    </row>
    <row r="5" ht="42" customHeight="1">
      <c r="A5" s="5" t="inlineStr">
        <is>
          <t>E02</t>
        </is>
      </c>
      <c r="B5" s="5" t="inlineStr">
        <is>
          <t>经济运行</t>
        </is>
      </c>
      <c r="C5" s="5" t="inlineStr">
        <is>
          <t>物价水平</t>
        </is>
      </c>
      <c r="D5" s="5" t="inlineStr">
        <is>
          <t>CPI同比（%）</t>
        </is>
      </c>
      <c r="E5" s="5" t="inlineStr">
        <is>
          <t>月度</t>
        </is>
      </c>
      <c r="F5" s="5" t="inlineStr">
        <is>
          <t>%</t>
        </is>
      </c>
      <c r="G5" s="5" t="inlineStr">
        <is>
          <t>目标</t>
        </is>
      </c>
      <c r="H5" s="19" t="n">
        <v>0.036</v>
      </c>
      <c r="I5" s="5" t="inlineStr">
        <is>
          <t>&lt;0或&gt;4.5 %</t>
        </is>
      </c>
      <c r="J5" s="5" t="inlineStr">
        <is>
          <t>0～4.5 %</t>
        </is>
      </c>
      <c r="K5" s="5" t="inlineStr">
        <is>
          <t>0.5～3.5 %</t>
        </is>
      </c>
      <c r="L5" s="5" t="inlineStr">
        <is>
          <t>1～3 %</t>
        </is>
      </c>
      <c r="M5" s="5" t="inlineStr">
        <is>
          <t>1.5～2.5 %</t>
        </is>
      </c>
      <c r="N5" s="5" t="inlineStr">
        <is>
          <t>原发布口径；过低和过高都扣分；季节因素看环比辅助</t>
        </is>
      </c>
      <c r="O5" t="n">
        <v>0</v>
      </c>
      <c r="P5" t="n">
        <v>4.5</v>
      </c>
      <c r="Q5" t="n">
        <v>0.5</v>
      </c>
      <c r="R5" t="n">
        <v>3.5</v>
      </c>
      <c r="S5" t="n">
        <v>1</v>
      </c>
      <c r="T5" t="n">
        <v>3</v>
      </c>
      <c r="U5" t="n">
        <v>1.5</v>
      </c>
      <c r="V5" t="n">
        <v>2.5</v>
      </c>
    </row>
    <row r="6" ht="42" customHeight="1">
      <c r="A6" s="8" t="inlineStr">
        <is>
          <t>E03</t>
        </is>
      </c>
      <c r="B6" s="8" t="inlineStr">
        <is>
          <t>经济运行</t>
        </is>
      </c>
      <c r="C6" s="8" t="inlineStr">
        <is>
          <t>物价水平</t>
        </is>
      </c>
      <c r="D6" s="8" t="inlineStr">
        <is>
          <t>核心CPI同比（%）</t>
        </is>
      </c>
      <c r="E6" s="8" t="inlineStr">
        <is>
          <t>月度</t>
        </is>
      </c>
      <c r="F6" s="8" t="inlineStr">
        <is>
          <t>%</t>
        </is>
      </c>
      <c r="G6" s="8" t="inlineStr">
        <is>
          <t>目标</t>
        </is>
      </c>
      <c r="H6" s="17" t="n">
        <v>0.03</v>
      </c>
      <c r="I6" s="8" t="inlineStr">
        <is>
          <t>&lt;0或&gt;4 %</t>
        </is>
      </c>
      <c r="J6" s="8" t="inlineStr">
        <is>
          <t>0～4 %</t>
        </is>
      </c>
      <c r="K6" s="8" t="inlineStr">
        <is>
          <t>0.5～3.5 %</t>
        </is>
      </c>
      <c r="L6" s="8" t="inlineStr">
        <is>
          <t>1～3 %</t>
        </is>
      </c>
      <c r="M6" s="8" t="inlineStr">
        <is>
          <t>1.5～2.5 %</t>
        </is>
      </c>
      <c r="N6" s="8" t="inlineStr">
        <is>
          <t>原发布口径；扣除食品和能源，观察内需价格</t>
        </is>
      </c>
      <c r="O6" t="n">
        <v>0</v>
      </c>
      <c r="P6" t="n">
        <v>4</v>
      </c>
      <c r="Q6" t="n">
        <v>0.5</v>
      </c>
      <c r="R6" t="n">
        <v>3.5</v>
      </c>
      <c r="S6" t="n">
        <v>1</v>
      </c>
      <c r="T6" t="n">
        <v>3</v>
      </c>
      <c r="U6" t="n">
        <v>1.5</v>
      </c>
      <c r="V6" t="n">
        <v>2.5</v>
      </c>
    </row>
    <row r="7" ht="42" customHeight="1">
      <c r="A7" s="5" t="inlineStr">
        <is>
          <t>E04</t>
        </is>
      </c>
      <c r="B7" s="5" t="inlineStr">
        <is>
          <t>经济运行</t>
        </is>
      </c>
      <c r="C7" s="5" t="inlineStr">
        <is>
          <t>物价水平</t>
        </is>
      </c>
      <c r="D7" s="5" t="inlineStr">
        <is>
          <t>PPI同比（%）</t>
        </is>
      </c>
      <c r="E7" s="5" t="inlineStr">
        <is>
          <t>月度</t>
        </is>
      </c>
      <c r="F7" s="5" t="inlineStr">
        <is>
          <t>%</t>
        </is>
      </c>
      <c r="G7" s="5" t="inlineStr">
        <is>
          <t>目标</t>
        </is>
      </c>
      <c r="H7" s="19" t="n">
        <v>0.024</v>
      </c>
      <c r="I7" s="5" t="inlineStr">
        <is>
          <t>&lt;-3或&gt;8 %</t>
        </is>
      </c>
      <c r="J7" s="5" t="inlineStr">
        <is>
          <t>-3～8 %</t>
        </is>
      </c>
      <c r="K7" s="5" t="inlineStr">
        <is>
          <t>-2～6 %</t>
        </is>
      </c>
      <c r="L7" s="5" t="inlineStr">
        <is>
          <t>-1～4 %</t>
        </is>
      </c>
      <c r="M7" s="5" t="inlineStr">
        <is>
          <t>0～3 %</t>
        </is>
      </c>
      <c r="N7" s="5" t="inlineStr">
        <is>
          <t>原发布口径；极端高增可能来自成本冲击，不再机械给5分</t>
        </is>
      </c>
      <c r="O7" t="n">
        <v>-3</v>
      </c>
      <c r="P7" t="n">
        <v>8</v>
      </c>
      <c r="Q7" t="n">
        <v>-2</v>
      </c>
      <c r="R7" t="n">
        <v>6</v>
      </c>
      <c r="S7" t="n">
        <v>-1</v>
      </c>
      <c r="T7" t="n">
        <v>4</v>
      </c>
      <c r="U7" t="n">
        <v>0</v>
      </c>
      <c r="V7" t="n">
        <v>3</v>
      </c>
    </row>
    <row r="8" ht="42" customHeight="1">
      <c r="A8" s="8" t="inlineStr">
        <is>
          <t>E05</t>
        </is>
      </c>
      <c r="B8" s="8" t="inlineStr">
        <is>
          <t>经济运行</t>
        </is>
      </c>
      <c r="C8" s="8" t="inlineStr">
        <is>
          <t>就业市场</t>
        </is>
      </c>
      <c r="D8" s="8" t="inlineStr">
        <is>
          <t>城镇调查失业率（%）</t>
        </is>
      </c>
      <c r="E8" s="8" t="inlineStr">
        <is>
          <t>月度</t>
        </is>
      </c>
      <c r="F8" s="8" t="inlineStr">
        <is>
          <t>%</t>
        </is>
      </c>
      <c r="G8" s="8" t="inlineStr">
        <is>
          <t>低优</t>
        </is>
      </c>
      <c r="H8" s="17" t="n">
        <v>0.06</v>
      </c>
      <c r="I8" s="8" t="inlineStr">
        <is>
          <t>≥6 %</t>
        </is>
      </c>
      <c r="J8" s="8" t="inlineStr">
        <is>
          <t>[5.5,6) %</t>
        </is>
      </c>
      <c r="K8" s="8" t="inlineStr">
        <is>
          <t>[5,5.5) %</t>
        </is>
      </c>
      <c r="L8" s="8" t="inlineStr">
        <is>
          <t>[4.5,5) %</t>
        </is>
      </c>
      <c r="M8" s="8" t="inlineStr">
        <is>
          <t>&lt;4.5 %</t>
        </is>
      </c>
      <c r="N8" s="8" t="inlineStr">
        <is>
          <t>原发布口径；配合就业质量、青年失业率观察；单一指标有限</t>
        </is>
      </c>
      <c r="O8" t="n">
        <v>4.5</v>
      </c>
      <c r="P8" t="n">
        <v>5</v>
      </c>
      <c r="Q8" t="n">
        <v>5.5</v>
      </c>
      <c r="R8" t="n">
        <v>6</v>
      </c>
    </row>
    <row r="9" ht="42" customHeight="1">
      <c r="A9" s="5" t="inlineStr">
        <is>
          <t>E06</t>
        </is>
      </c>
      <c r="B9" s="5" t="inlineStr">
        <is>
          <t>经济运行</t>
        </is>
      </c>
      <c r="C9" s="5" t="inlineStr">
        <is>
          <t>景气指数</t>
        </is>
      </c>
      <c r="D9" s="5" t="inlineStr">
        <is>
          <t>综合PMI产出指数</t>
        </is>
      </c>
      <c r="E9" s="5" t="inlineStr">
        <is>
          <t>月度</t>
        </is>
      </c>
      <c r="F9" s="5" t="inlineStr">
        <is>
          <t>指数点</t>
        </is>
      </c>
      <c r="G9" s="5" t="inlineStr">
        <is>
          <t>高优</t>
        </is>
      </c>
      <c r="H9" s="19" t="n">
        <v>0.06</v>
      </c>
      <c r="I9" s="5" t="inlineStr">
        <is>
          <t>&lt;48 指数点</t>
        </is>
      </c>
      <c r="J9" s="5" t="inlineStr">
        <is>
          <t>[48,50) 指数点</t>
        </is>
      </c>
      <c r="K9" s="5" t="inlineStr">
        <is>
          <t>[50,52) 指数点</t>
        </is>
      </c>
      <c r="L9" s="5" t="inlineStr">
        <is>
          <t>[52,54) 指数点</t>
        </is>
      </c>
      <c r="M9" s="5" t="inlineStr">
        <is>
          <t>≥54 指数点</t>
        </is>
      </c>
      <c r="N9" s="5" t="inlineStr">
        <is>
          <t>原发布口径；制造业和非制造业PMI保留作结构解释</t>
        </is>
      </c>
      <c r="O9" t="n">
        <v>48</v>
      </c>
      <c r="P9" t="n">
        <v>50</v>
      </c>
      <c r="Q9" t="n">
        <v>52</v>
      </c>
      <c r="R9" t="n">
        <v>54</v>
      </c>
    </row>
    <row r="10" ht="42" customHeight="1">
      <c r="A10" s="8" t="inlineStr">
        <is>
          <t>G01</t>
        </is>
      </c>
      <c r="B10" s="8" t="inlineStr">
        <is>
          <t>增长动力</t>
        </is>
      </c>
      <c r="C10" s="8" t="inlineStr">
        <is>
          <t>工业生产</t>
        </is>
      </c>
      <c r="D10" s="8" t="inlineStr">
        <is>
          <t>规模以上工业增加值增速（%）</t>
        </is>
      </c>
      <c r="E10" s="8" t="inlineStr">
        <is>
          <t>月度</t>
        </is>
      </c>
      <c r="F10" s="8" t="inlineStr">
        <is>
          <t>%</t>
        </is>
      </c>
      <c r="G10" s="8" t="inlineStr">
        <is>
          <t>高优</t>
        </is>
      </c>
      <c r="H10" s="17" t="n">
        <v>0.036</v>
      </c>
      <c r="I10" s="8" t="inlineStr">
        <is>
          <t>&lt;3 %</t>
        </is>
      </c>
      <c r="J10" s="8" t="inlineStr">
        <is>
          <t>[3,5) %</t>
        </is>
      </c>
      <c r="K10" s="8" t="inlineStr">
        <is>
          <t>[5,6) %</t>
        </is>
      </c>
      <c r="L10" s="8" t="inlineStr">
        <is>
          <t>[6,8) %</t>
        </is>
      </c>
      <c r="M10" s="8" t="inlineStr">
        <is>
          <t>≥8 %</t>
        </is>
      </c>
      <c r="N10" s="8" t="inlineStr">
        <is>
          <t>原发布口径；固定当月同比口径，1—2月合并发布</t>
        </is>
      </c>
      <c r="O10" t="n">
        <v>3</v>
      </c>
      <c r="P10" t="n">
        <v>5</v>
      </c>
      <c r="Q10" t="n">
        <v>6</v>
      </c>
      <c r="R10" t="n">
        <v>8</v>
      </c>
    </row>
    <row r="11" ht="42" customHeight="1">
      <c r="A11" s="5" t="inlineStr">
        <is>
          <t>G02</t>
        </is>
      </c>
      <c r="B11" s="5" t="inlineStr">
        <is>
          <t>增长动力</t>
        </is>
      </c>
      <c r="C11" s="5" t="inlineStr">
        <is>
          <t>工业生产</t>
        </is>
      </c>
      <c r="D11" s="5" t="inlineStr">
        <is>
          <t>工业企业利润总额增速（%）</t>
        </is>
      </c>
      <c r="E11" s="5" t="inlineStr">
        <is>
          <t>月度</t>
        </is>
      </c>
      <c r="F11" s="5" t="inlineStr">
        <is>
          <t>%</t>
        </is>
      </c>
      <c r="G11" s="5" t="inlineStr">
        <is>
          <t>高优</t>
        </is>
      </c>
      <c r="H11" s="19" t="n">
        <v>0.024</v>
      </c>
      <c r="I11" s="5" t="inlineStr">
        <is>
          <t>&lt;-10 %</t>
        </is>
      </c>
      <c r="J11" s="5" t="inlineStr">
        <is>
          <t>[-10,0) %</t>
        </is>
      </c>
      <c r="K11" s="5" t="inlineStr">
        <is>
          <t>[0,8) %</t>
        </is>
      </c>
      <c r="L11" s="5" t="inlineStr">
        <is>
          <t>[8,15) %</t>
        </is>
      </c>
      <c r="M11" s="5" t="inlineStr">
        <is>
          <t>≥15 %</t>
        </is>
      </c>
      <c r="N11" s="5" t="inlineStr">
        <is>
          <t>年初累计同比；官方多为年初累计同比，勿误写当月同比</t>
        </is>
      </c>
      <c r="O11" t="n">
        <v>-10</v>
      </c>
      <c r="P11" t="n">
        <v>0</v>
      </c>
      <c r="Q11" t="n">
        <v>8</v>
      </c>
      <c r="R11" t="n">
        <v>15</v>
      </c>
    </row>
    <row r="12" ht="42" customHeight="1">
      <c r="A12" s="8" t="inlineStr">
        <is>
          <t>G03</t>
        </is>
      </c>
      <c r="B12" s="8" t="inlineStr">
        <is>
          <t>增长动力</t>
        </is>
      </c>
      <c r="C12" s="8" t="inlineStr">
        <is>
          <t>房地产</t>
        </is>
      </c>
      <c r="D12" s="8" t="inlineStr">
        <is>
          <t>商品房销售面积增速（%）</t>
        </is>
      </c>
      <c r="E12" s="8" t="inlineStr">
        <is>
          <t>月度</t>
        </is>
      </c>
      <c r="F12" s="8" t="inlineStr">
        <is>
          <t>%</t>
        </is>
      </c>
      <c r="G12" s="8" t="inlineStr">
        <is>
          <t>高优</t>
        </is>
      </c>
      <c r="H12" s="17" t="n">
        <v>0.03</v>
      </c>
      <c r="I12" s="8" t="inlineStr">
        <is>
          <t>&lt;-20 %</t>
        </is>
      </c>
      <c r="J12" s="8" t="inlineStr">
        <is>
          <t>[-20,-10) %</t>
        </is>
      </c>
      <c r="K12" s="8" t="inlineStr">
        <is>
          <t>[-10,0) %</t>
        </is>
      </c>
      <c r="L12" s="8" t="inlineStr">
        <is>
          <t>[0,5) %</t>
        </is>
      </c>
      <c r="M12" s="8" t="inlineStr">
        <is>
          <t>≥5 %</t>
        </is>
      </c>
      <c r="N12" s="8" t="inlineStr">
        <is>
          <t>年初累计同比；固定年初累计同比，不与单月增量混用</t>
        </is>
      </c>
      <c r="O12" t="n">
        <v>-20</v>
      </c>
      <c r="P12" t="n">
        <v>-10</v>
      </c>
      <c r="Q12" t="n">
        <v>0</v>
      </c>
      <c r="R12" t="n">
        <v>5</v>
      </c>
    </row>
    <row r="13" ht="42" customHeight="1">
      <c r="A13" s="5" t="inlineStr">
        <is>
          <t>G04</t>
        </is>
      </c>
      <c r="B13" s="5" t="inlineStr">
        <is>
          <t>增长动力</t>
        </is>
      </c>
      <c r="C13" s="5" t="inlineStr">
        <is>
          <t>房地产</t>
        </is>
      </c>
      <c r="D13" s="5" t="inlineStr">
        <is>
          <t>房屋新开工面积增速（%）</t>
        </is>
      </c>
      <c r="E13" s="5" t="inlineStr">
        <is>
          <t>月度</t>
        </is>
      </c>
      <c r="F13" s="5" t="inlineStr">
        <is>
          <t>%</t>
        </is>
      </c>
      <c r="G13" s="5" t="inlineStr">
        <is>
          <t>高优</t>
        </is>
      </c>
      <c r="H13" s="19" t="n">
        <v>0.012</v>
      </c>
      <c r="I13" s="5" t="inlineStr">
        <is>
          <t>&lt;-25 %</t>
        </is>
      </c>
      <c r="J13" s="5" t="inlineStr">
        <is>
          <t>[-25,-10) %</t>
        </is>
      </c>
      <c r="K13" s="5" t="inlineStr">
        <is>
          <t>[-10,0) %</t>
        </is>
      </c>
      <c r="L13" s="5" t="inlineStr">
        <is>
          <t>[0,10) %</t>
        </is>
      </c>
      <c r="M13" s="5" t="inlineStr">
        <is>
          <t>≥10 %</t>
        </is>
      </c>
      <c r="N13" s="5" t="inlineStr">
        <is>
          <t>年初累计同比；固定年初累计同比</t>
        </is>
      </c>
      <c r="O13" t="n">
        <v>-25</v>
      </c>
      <c r="P13" t="n">
        <v>-10</v>
      </c>
      <c r="Q13" t="n">
        <v>0</v>
      </c>
      <c r="R13" t="n">
        <v>10</v>
      </c>
    </row>
    <row r="14" ht="42" customHeight="1">
      <c r="A14" s="8" t="inlineStr">
        <is>
          <t>G05</t>
        </is>
      </c>
      <c r="B14" s="8" t="inlineStr">
        <is>
          <t>增长动力</t>
        </is>
      </c>
      <c r="C14" s="8" t="inlineStr">
        <is>
          <t>房地产</t>
        </is>
      </c>
      <c r="D14" s="8" t="inlineStr">
        <is>
          <t>房地产开发企业资金来源增速（%）</t>
        </is>
      </c>
      <c r="E14" s="8" t="inlineStr">
        <is>
          <t>月度</t>
        </is>
      </c>
      <c r="F14" s="8" t="inlineStr">
        <is>
          <t>%</t>
        </is>
      </c>
      <c r="G14" s="8" t="inlineStr">
        <is>
          <t>高优</t>
        </is>
      </c>
      <c r="H14" s="17" t="n">
        <v>0.018</v>
      </c>
      <c r="I14" s="8" t="inlineStr">
        <is>
          <t>&lt;-15 %</t>
        </is>
      </c>
      <c r="J14" s="8" t="inlineStr">
        <is>
          <t>[-15,-5) %</t>
        </is>
      </c>
      <c r="K14" s="8" t="inlineStr">
        <is>
          <t>[-5,0) %</t>
        </is>
      </c>
      <c r="L14" s="8" t="inlineStr">
        <is>
          <t>[0,10) %</t>
        </is>
      </c>
      <c r="M14" s="8" t="inlineStr">
        <is>
          <t>≥10 %</t>
        </is>
      </c>
      <c r="N14" s="8" t="inlineStr">
        <is>
          <t>年初累计同比；固定年初累计同比</t>
        </is>
      </c>
      <c r="O14" t="n">
        <v>-15</v>
      </c>
      <c r="P14" t="n">
        <v>-5</v>
      </c>
      <c r="Q14" t="n">
        <v>0</v>
      </c>
      <c r="R14" t="n">
        <v>10</v>
      </c>
    </row>
    <row r="15" ht="42" customHeight="1">
      <c r="A15" s="5" t="inlineStr">
        <is>
          <t>G06</t>
        </is>
      </c>
      <c r="B15" s="5" t="inlineStr">
        <is>
          <t>增长动力</t>
        </is>
      </c>
      <c r="C15" s="5" t="inlineStr">
        <is>
          <t>投资</t>
        </is>
      </c>
      <c r="D15" s="5" t="inlineStr">
        <is>
          <t>固定资产投资（FAI）增速（%）</t>
        </is>
      </c>
      <c r="E15" s="5" t="inlineStr">
        <is>
          <t>月度</t>
        </is>
      </c>
      <c r="F15" s="5" t="inlineStr">
        <is>
          <t>%</t>
        </is>
      </c>
      <c r="G15" s="5" t="inlineStr">
        <is>
          <t>高优</t>
        </is>
      </c>
      <c r="H15" s="19" t="n">
        <v>0.015</v>
      </c>
      <c r="I15" s="5" t="inlineStr">
        <is>
          <t>&lt;2 %</t>
        </is>
      </c>
      <c r="J15" s="5" t="inlineStr">
        <is>
          <t>[2,4) %</t>
        </is>
      </c>
      <c r="K15" s="5" t="inlineStr">
        <is>
          <t>[4,6) %</t>
        </is>
      </c>
      <c r="L15" s="5" t="inlineStr">
        <is>
          <t>[6,8) %</t>
        </is>
      </c>
      <c r="M15" s="5" t="inlineStr">
        <is>
          <t>≥8 %</t>
        </is>
      </c>
      <c r="N15" s="5" t="inlineStr">
        <is>
          <t>年初累计同比；不含农户；固定年初累计同比</t>
        </is>
      </c>
      <c r="O15" t="n">
        <v>2</v>
      </c>
      <c r="P15" t="n">
        <v>4</v>
      </c>
      <c r="Q15" t="n">
        <v>6</v>
      </c>
      <c r="R15" t="n">
        <v>8</v>
      </c>
    </row>
    <row r="16" ht="42" customHeight="1">
      <c r="A16" s="8" t="inlineStr">
        <is>
          <t>G07</t>
        </is>
      </c>
      <c r="B16" s="8" t="inlineStr">
        <is>
          <t>增长动力</t>
        </is>
      </c>
      <c r="C16" s="8" t="inlineStr">
        <is>
          <t>投资</t>
        </is>
      </c>
      <c r="D16" s="8" t="inlineStr">
        <is>
          <t>制造业投资增速（%）</t>
        </is>
      </c>
      <c r="E16" s="8" t="inlineStr">
        <is>
          <t>月度</t>
        </is>
      </c>
      <c r="F16" s="8" t="inlineStr">
        <is>
          <t>%</t>
        </is>
      </c>
      <c r="G16" s="8" t="inlineStr">
        <is>
          <t>高优</t>
        </is>
      </c>
      <c r="H16" s="17" t="n">
        <v>0.03</v>
      </c>
      <c r="I16" s="8" t="inlineStr">
        <is>
          <t>&lt;4 %</t>
        </is>
      </c>
      <c r="J16" s="8" t="inlineStr">
        <is>
          <t>[4,7) %</t>
        </is>
      </c>
      <c r="K16" s="8" t="inlineStr">
        <is>
          <t>[7,10) %</t>
        </is>
      </c>
      <c r="L16" s="8" t="inlineStr">
        <is>
          <t>[10,14) %</t>
        </is>
      </c>
      <c r="M16" s="8" t="inlineStr">
        <is>
          <t>≥14 %</t>
        </is>
      </c>
      <c r="N16" s="8" t="inlineStr">
        <is>
          <t>年初累计同比；不含农户；固定年初累计同比</t>
        </is>
      </c>
      <c r="O16" t="n">
        <v>4</v>
      </c>
      <c r="P16" t="n">
        <v>7</v>
      </c>
      <c r="Q16" t="n">
        <v>10</v>
      </c>
      <c r="R16" t="n">
        <v>14</v>
      </c>
    </row>
    <row r="17" ht="42" customHeight="1">
      <c r="A17" s="5" t="inlineStr">
        <is>
          <t>G08</t>
        </is>
      </c>
      <c r="B17" s="5" t="inlineStr">
        <is>
          <t>增长动力</t>
        </is>
      </c>
      <c r="C17" s="5" t="inlineStr">
        <is>
          <t>投资</t>
        </is>
      </c>
      <c r="D17" s="5" t="inlineStr">
        <is>
          <t>民间固定资产投资增速（%）</t>
        </is>
      </c>
      <c r="E17" s="5" t="inlineStr">
        <is>
          <t>月度</t>
        </is>
      </c>
      <c r="F17" s="5" t="inlineStr">
        <is>
          <t>%</t>
        </is>
      </c>
      <c r="G17" s="5" t="inlineStr">
        <is>
          <t>高优</t>
        </is>
      </c>
      <c r="H17" s="19" t="n">
        <v>0.03</v>
      </c>
      <c r="I17" s="5" t="inlineStr">
        <is>
          <t>&lt;2 %</t>
        </is>
      </c>
      <c r="J17" s="5" t="inlineStr">
        <is>
          <t>[2,4) %</t>
        </is>
      </c>
      <c r="K17" s="5" t="inlineStr">
        <is>
          <t>[4,6) %</t>
        </is>
      </c>
      <c r="L17" s="5" t="inlineStr">
        <is>
          <t>[6,9) %</t>
        </is>
      </c>
      <c r="M17" s="5" t="inlineStr">
        <is>
          <t>≥9 %</t>
        </is>
      </c>
      <c r="N17" s="5" t="inlineStr">
        <is>
          <t>年初累计同比；不含农户；固定年初累计同比</t>
        </is>
      </c>
      <c r="O17" t="n">
        <v>2</v>
      </c>
      <c r="P17" t="n">
        <v>4</v>
      </c>
      <c r="Q17" t="n">
        <v>6</v>
      </c>
      <c r="R17" t="n">
        <v>9</v>
      </c>
    </row>
    <row r="18" ht="42" customHeight="1">
      <c r="A18" s="8" t="inlineStr">
        <is>
          <t>G09</t>
        </is>
      </c>
      <c r="B18" s="8" t="inlineStr">
        <is>
          <t>增长动力</t>
        </is>
      </c>
      <c r="C18" s="8" t="inlineStr">
        <is>
          <t>消费</t>
        </is>
      </c>
      <c r="D18" s="8" t="inlineStr">
        <is>
          <t>社会消费品零售总额增速（%）</t>
        </is>
      </c>
      <c r="E18" s="8" t="inlineStr">
        <is>
          <t>月度</t>
        </is>
      </c>
      <c r="F18" s="8" t="inlineStr">
        <is>
          <t>%</t>
        </is>
      </c>
      <c r="G18" s="8" t="inlineStr">
        <is>
          <t>高优</t>
        </is>
      </c>
      <c r="H18" s="17" t="n">
        <v>0.075</v>
      </c>
      <c r="I18" s="8" t="inlineStr">
        <is>
          <t>&lt;2 %</t>
        </is>
      </c>
      <c r="J18" s="8" t="inlineStr">
        <is>
          <t>[2,4) %</t>
        </is>
      </c>
      <c r="K18" s="8" t="inlineStr">
        <is>
          <t>[4,6) %</t>
        </is>
      </c>
      <c r="L18" s="8" t="inlineStr">
        <is>
          <t>[6,8) %</t>
        </is>
      </c>
      <c r="M18" s="8" t="inlineStr">
        <is>
          <t>≥8 %</t>
        </is>
      </c>
      <c r="N18" s="8" t="inlineStr">
        <is>
          <t>当月名义同比；固定当月名义同比；服务零售辅助验证</t>
        </is>
      </c>
      <c r="O18" t="n">
        <v>2</v>
      </c>
      <c r="P18" t="n">
        <v>4</v>
      </c>
      <c r="Q18" t="n">
        <v>6</v>
      </c>
      <c r="R18" t="n">
        <v>8</v>
      </c>
    </row>
    <row r="19" ht="42" customHeight="1">
      <c r="A19" s="5" t="inlineStr">
        <is>
          <t>G10</t>
        </is>
      </c>
      <c r="B19" s="5" t="inlineStr">
        <is>
          <t>增长动力</t>
        </is>
      </c>
      <c r="C19" s="5" t="inlineStr">
        <is>
          <t>进出口</t>
        </is>
      </c>
      <c r="D19" s="5" t="inlineStr">
        <is>
          <t>出口金额增速（美元计，%）</t>
        </is>
      </c>
      <c r="E19" s="5" t="inlineStr">
        <is>
          <t>月度</t>
        </is>
      </c>
      <c r="F19" s="5" t="inlineStr">
        <is>
          <t>%</t>
        </is>
      </c>
      <c r="G19" s="5" t="inlineStr">
        <is>
          <t>高优</t>
        </is>
      </c>
      <c r="H19" s="19" t="n">
        <v>0.03</v>
      </c>
      <c r="I19" s="5" t="inlineStr">
        <is>
          <t>&lt;-5 %</t>
        </is>
      </c>
      <c r="J19" s="5" t="inlineStr">
        <is>
          <t>[-5,0) %</t>
        </is>
      </c>
      <c r="K19" s="5" t="inlineStr">
        <is>
          <t>[0,5) %</t>
        </is>
      </c>
      <c r="L19" s="5" t="inlineStr">
        <is>
          <t>[5,10) %</t>
        </is>
      </c>
      <c r="M19" s="5" t="inlineStr">
        <is>
          <t>≥10 %</t>
        </is>
      </c>
      <c r="N19" s="5" t="inlineStr">
        <is>
          <t>美元计当月同比；固定美元计同比；人民币计与价格拆分辅助</t>
        </is>
      </c>
      <c r="O19" t="n">
        <v>-5</v>
      </c>
      <c r="P19" t="n">
        <v>0</v>
      </c>
      <c r="Q19" t="n">
        <v>5</v>
      </c>
      <c r="R19" t="n">
        <v>10</v>
      </c>
    </row>
    <row r="20" ht="42" customHeight="1">
      <c r="A20" s="8" t="inlineStr">
        <is>
          <t>F01</t>
        </is>
      </c>
      <c r="B20" s="8" t="inlineStr">
        <is>
          <t>金融信贷</t>
        </is>
      </c>
      <c r="C20" s="8" t="inlineStr">
        <is>
          <t>信贷结构</t>
        </is>
      </c>
      <c r="D20" s="8" t="inlineStr">
        <is>
          <t>居民中长期贷款近3月同比多增（亿元）</t>
        </is>
      </c>
      <c r="E20" s="8" t="inlineStr">
        <is>
          <t>月度</t>
        </is>
      </c>
      <c r="F20" s="8" t="inlineStr">
        <is>
          <t>亿元</t>
        </is>
      </c>
      <c r="G20" s="8" t="inlineStr">
        <is>
          <t>高优</t>
        </is>
      </c>
      <c r="H20" s="17" t="n">
        <v>0.03</v>
      </c>
      <c r="I20" s="8" t="inlineStr">
        <is>
          <t>&lt;-3000 亿元</t>
        </is>
      </c>
      <c r="J20" s="8" t="inlineStr">
        <is>
          <t>[-3000,-1500) 亿元</t>
        </is>
      </c>
      <c r="K20" s="8" t="inlineStr">
        <is>
          <t>[-1500,0) 亿元</t>
        </is>
      </c>
      <c r="L20" s="8" t="inlineStr">
        <is>
          <t>[0,1500) 亿元</t>
        </is>
      </c>
      <c r="M20" s="8" t="inlineStr">
        <is>
          <t>≥1500 亿元</t>
        </is>
      </c>
      <c r="N20" s="8" t="inlineStr">
        <is>
          <t>派生：近3月同比多增；由三个月当月新增之和减上年对应三个月；春节错位需特别解释</t>
        </is>
      </c>
      <c r="O20" t="n">
        <v>-3000</v>
      </c>
      <c r="P20" t="n">
        <v>-1500</v>
      </c>
      <c r="Q20" t="n">
        <v>0</v>
      </c>
      <c r="R20" t="n">
        <v>1500</v>
      </c>
    </row>
    <row r="21" ht="42" customHeight="1">
      <c r="A21" s="5" t="inlineStr">
        <is>
          <t>F02</t>
        </is>
      </c>
      <c r="B21" s="5" t="inlineStr">
        <is>
          <t>金融信贷</t>
        </is>
      </c>
      <c r="C21" s="5" t="inlineStr">
        <is>
          <t>信贷结构</t>
        </is>
      </c>
      <c r="D21" s="5" t="inlineStr">
        <is>
          <t>企业中长期贷款近3月同比多增（亿元）</t>
        </is>
      </c>
      <c r="E21" s="5" t="inlineStr">
        <is>
          <t>月度</t>
        </is>
      </c>
      <c r="F21" s="5" t="inlineStr">
        <is>
          <t>亿元</t>
        </is>
      </c>
      <c r="G21" s="5" t="inlineStr">
        <is>
          <t>高优</t>
        </is>
      </c>
      <c r="H21" s="19" t="n">
        <v>0.04000000000000001</v>
      </c>
      <c r="I21" s="5" t="inlineStr">
        <is>
          <t>&lt;-5000 亿元</t>
        </is>
      </c>
      <c r="J21" s="5" t="inlineStr">
        <is>
          <t>[-5000,-2500) 亿元</t>
        </is>
      </c>
      <c r="K21" s="5" t="inlineStr">
        <is>
          <t>[-2500,0) 亿元</t>
        </is>
      </c>
      <c r="L21" s="5" t="inlineStr">
        <is>
          <t>[0,2500) 亿元</t>
        </is>
      </c>
      <c r="M21" s="5" t="inlineStr">
        <is>
          <t>≥2500 亿元</t>
        </is>
      </c>
      <c r="N21" s="5" t="inlineStr">
        <is>
          <t>派生：近3月同比多增；企事业单位口径须与原表核对；不得仅用累计值伪装当月</t>
        </is>
      </c>
      <c r="O21" t="n">
        <v>-5000</v>
      </c>
      <c r="P21" t="n">
        <v>-2500</v>
      </c>
      <c r="Q21" t="n">
        <v>0</v>
      </c>
      <c r="R21" t="n">
        <v>2500</v>
      </c>
    </row>
    <row r="22" ht="42" customHeight="1">
      <c r="A22" s="8" t="inlineStr">
        <is>
          <t>F03</t>
        </is>
      </c>
      <c r="B22" s="8" t="inlineStr">
        <is>
          <t>金融信贷</t>
        </is>
      </c>
      <c r="C22" s="8" t="inlineStr">
        <is>
          <t>社会融资</t>
        </is>
      </c>
      <c r="D22" s="8" t="inlineStr">
        <is>
          <t>社融规模存量增速（%）</t>
        </is>
      </c>
      <c r="E22" s="8" t="inlineStr">
        <is>
          <t>月度</t>
        </is>
      </c>
      <c r="F22" s="8" t="inlineStr">
        <is>
          <t>%</t>
        </is>
      </c>
      <c r="G22" s="8" t="inlineStr">
        <is>
          <t>高优</t>
        </is>
      </c>
      <c r="H22" s="17" t="n">
        <v>0.05</v>
      </c>
      <c r="I22" s="8" t="inlineStr">
        <is>
          <t>&lt;7 %</t>
        </is>
      </c>
      <c r="J22" s="8" t="inlineStr">
        <is>
          <t>[7,8.5) %</t>
        </is>
      </c>
      <c r="K22" s="8" t="inlineStr">
        <is>
          <t>[8.5,10) %</t>
        </is>
      </c>
      <c r="L22" s="8" t="inlineStr">
        <is>
          <t>[10,12) %</t>
        </is>
      </c>
      <c r="M22" s="8" t="inlineStr">
        <is>
          <t>≥12 %</t>
        </is>
      </c>
      <c r="N22" s="8" t="inlineStr">
        <is>
          <t>期末同比；存量期末同比；注意历史统计范围变化</t>
        </is>
      </c>
      <c r="O22" t="n">
        <v>7</v>
      </c>
      <c r="P22" t="n">
        <v>8.5</v>
      </c>
      <c r="Q22" t="n">
        <v>10</v>
      </c>
      <c r="R22" t="n">
        <v>12</v>
      </c>
    </row>
    <row r="23" ht="42" customHeight="1">
      <c r="A23" s="5" t="inlineStr">
        <is>
          <t>F04</t>
        </is>
      </c>
      <c r="B23" s="5" t="inlineStr">
        <is>
          <t>金融信贷</t>
        </is>
      </c>
      <c r="C23" s="5" t="inlineStr">
        <is>
          <t>社会融资</t>
        </is>
      </c>
      <c r="D23" s="5" t="inlineStr">
        <is>
          <t>人民币贷款存量增速（%）</t>
        </is>
      </c>
      <c r="E23" s="5" t="inlineStr">
        <is>
          <t>月度</t>
        </is>
      </c>
      <c r="F23" s="5" t="inlineStr">
        <is>
          <t>%</t>
        </is>
      </c>
      <c r="G23" s="5" t="inlineStr">
        <is>
          <t>高优</t>
        </is>
      </c>
      <c r="H23" s="19" t="n">
        <v>0.03</v>
      </c>
      <c r="I23" s="5" t="inlineStr">
        <is>
          <t>&lt;7 %</t>
        </is>
      </c>
      <c r="J23" s="5" t="inlineStr">
        <is>
          <t>[7,9) %</t>
        </is>
      </c>
      <c r="K23" s="5" t="inlineStr">
        <is>
          <t>[9,11) %</t>
        </is>
      </c>
      <c r="L23" s="5" t="inlineStr">
        <is>
          <t>[11,13) %</t>
        </is>
      </c>
      <c r="M23" s="5" t="inlineStr">
        <is>
          <t>≥13 %</t>
        </is>
      </c>
      <c r="N23" s="5" t="inlineStr">
        <is>
          <t>期末同比；与社融存量增速信息重叠，权重已下调；核清金融机构/社融口径</t>
        </is>
      </c>
      <c r="O23" t="n">
        <v>7</v>
      </c>
      <c r="P23" t="n">
        <v>9</v>
      </c>
      <c r="Q23" t="n">
        <v>11</v>
      </c>
      <c r="R23" t="n">
        <v>13</v>
      </c>
    </row>
    <row r="24" ht="42" customHeight="1">
      <c r="A24" s="8" t="inlineStr">
        <is>
          <t>F05</t>
        </is>
      </c>
      <c r="B24" s="8" t="inlineStr">
        <is>
          <t>金融信贷</t>
        </is>
      </c>
      <c r="C24" s="8" t="inlineStr">
        <is>
          <t>货币供给</t>
        </is>
      </c>
      <c r="D24" s="8" t="inlineStr">
        <is>
          <t>M1-M2剪刀差</t>
        </is>
      </c>
      <c r="E24" s="8" t="inlineStr">
        <is>
          <t>月度</t>
        </is>
      </c>
      <c r="F24" s="8" t="inlineStr">
        <is>
          <t>百分点</t>
        </is>
      </c>
      <c r="G24" s="8" t="inlineStr">
        <is>
          <t>目标</t>
        </is>
      </c>
      <c r="H24" s="17" t="n">
        <v>0.05</v>
      </c>
      <c r="I24" s="8" t="inlineStr">
        <is>
          <t>&lt;-10或&gt;12 百分点</t>
        </is>
      </c>
      <c r="J24" s="8" t="inlineStr">
        <is>
          <t>-10～12 百分点</t>
        </is>
      </c>
      <c r="K24" s="8" t="inlineStr">
        <is>
          <t>-5～8 百分点</t>
        </is>
      </c>
      <c r="L24" s="8" t="inlineStr">
        <is>
          <t>-2～5 百分点</t>
        </is>
      </c>
      <c r="M24" s="8" t="inlineStr">
        <is>
          <t>0～3 百分点</t>
        </is>
      </c>
      <c r="N24" s="8" t="inlineStr">
        <is>
          <t>新口径M1同比−同月M2同比；M1同比减M2同比；新旧M1口径不能直接连成同一评级序列</t>
        </is>
      </c>
      <c r="O24" t="n">
        <v>-10</v>
      </c>
      <c r="P24" t="n">
        <v>12</v>
      </c>
      <c r="Q24" t="n">
        <v>-5</v>
      </c>
      <c r="R24" t="n">
        <v>8</v>
      </c>
      <c r="S24" t="n">
        <v>-2</v>
      </c>
      <c r="T24" t="n">
        <v>5</v>
      </c>
      <c r="U24" t="n">
        <v>0</v>
      </c>
      <c r="V24" t="n">
        <v>3</v>
      </c>
    </row>
    <row r="25" ht="42" customHeight="1">
      <c r="A25" s="5" t="inlineStr">
        <is>
          <t>P01A</t>
        </is>
      </c>
      <c r="B25" s="5" t="inlineStr">
        <is>
          <t>宏观调控</t>
        </is>
      </c>
      <c r="C25" s="5" t="inlineStr">
        <is>
          <t>财政政策</t>
        </is>
      </c>
      <c r="D25" s="5" t="inlineStr">
        <is>
          <t>新增财政融资工具占GDP比重同比变动</t>
        </is>
      </c>
      <c r="E25" s="5" t="inlineStr">
        <is>
          <t>年度预算／月度复核</t>
        </is>
      </c>
      <c r="F25" s="5" t="inlineStr">
        <is>
          <t>百分点</t>
        </is>
      </c>
      <c r="G25" s="5" t="inlineStr">
        <is>
          <t>高优</t>
        </is>
      </c>
      <c r="H25" s="19" t="n">
        <v>0.024</v>
      </c>
      <c r="I25" s="5" t="inlineStr">
        <is>
          <t>&lt;-1 百分点</t>
        </is>
      </c>
      <c r="J25" s="5" t="inlineStr">
        <is>
          <t>[-1,-0.25) 百分点</t>
        </is>
      </c>
      <c r="K25" s="5" t="inlineStr">
        <is>
          <t>[-0.25,0.25) 百分点</t>
        </is>
      </c>
      <c r="L25" s="5" t="inlineStr">
        <is>
          <t>[0.25,1) 百分点</t>
        </is>
      </c>
      <c r="M25" s="5" t="inlineStr">
        <is>
          <t>≥1 百分点</t>
        </is>
      </c>
      <c r="N25" s="5" t="inlineStr">
        <is>
          <t>当年正式批准的赤字融资＋新增地方专项债＋特别国债等不重叠额度，除以上年已公布名义GDP；减上年额度/再上年GDP，避免用尚未公布的当年GDP；首选原始机构：全国人大、财政部</t>
        </is>
      </c>
      <c r="O25" t="n">
        <v>-1</v>
      </c>
      <c r="P25" t="n">
        <v>-0.25</v>
      </c>
      <c r="Q25" t="n">
        <v>0.25</v>
      </c>
      <c r="R25" t="n">
        <v>1</v>
      </c>
    </row>
    <row r="26" ht="42" customHeight="1">
      <c r="A26" s="8" t="inlineStr">
        <is>
          <t>P01B</t>
        </is>
      </c>
      <c r="B26" s="8" t="inlineStr">
        <is>
          <t>宏观调控</t>
        </is>
      </c>
      <c r="C26" s="8" t="inlineStr">
        <is>
          <t>财政政策</t>
        </is>
      </c>
      <c r="D26" s="8" t="inlineStr">
        <is>
          <t>一般公共预算支出执行进度同比变动</t>
        </is>
      </c>
      <c r="E26" s="8" t="inlineStr">
        <is>
          <t>月度</t>
        </is>
      </c>
      <c r="F26" s="8" t="inlineStr">
        <is>
          <t>百分点</t>
        </is>
      </c>
      <c r="G26" s="8" t="inlineStr">
        <is>
          <t>高优</t>
        </is>
      </c>
      <c r="H26" s="17" t="n">
        <v>0.021</v>
      </c>
      <c r="I26" s="8" t="inlineStr">
        <is>
          <t>&lt;-10 百分点</t>
        </is>
      </c>
      <c r="J26" s="8" t="inlineStr">
        <is>
          <t>[-10,-3) 百分点</t>
        </is>
      </c>
      <c r="K26" s="8" t="inlineStr">
        <is>
          <t>[-3,3) 百分点</t>
        </is>
      </c>
      <c r="L26" s="8" t="inlineStr">
        <is>
          <t>[3,10) 百分点</t>
        </is>
      </c>
      <c r="M26" s="8" t="inlineStr">
        <is>
          <t>≥10 百分点</t>
        </is>
      </c>
      <c r="N26" s="8" t="inlineStr">
        <is>
          <t>截至本月累计支出/当年批准预算支出，减上年同月累计支出/上年批准预算支出；年初月度季节性单列说明；首选原始机构：财政部</t>
        </is>
      </c>
      <c r="O26" t="n">
        <v>-10</v>
      </c>
      <c r="P26" t="n">
        <v>-3</v>
      </c>
      <c r="Q26" t="n">
        <v>3</v>
      </c>
      <c r="R26" t="n">
        <v>10</v>
      </c>
    </row>
    <row r="27" ht="42" customHeight="1">
      <c r="A27" s="5" t="inlineStr">
        <is>
          <t>P01C</t>
        </is>
      </c>
      <c r="B27" s="5" t="inlineStr">
        <is>
          <t>宏观调控</t>
        </is>
      </c>
      <c r="C27" s="5" t="inlineStr">
        <is>
          <t>财政政策</t>
        </is>
      </c>
      <c r="D27" s="5" t="inlineStr">
        <is>
          <t>新增地方专项债发行进度同比变动</t>
        </is>
      </c>
      <c r="E27" s="5" t="inlineStr">
        <is>
          <t>月度</t>
        </is>
      </c>
      <c r="F27" s="5" t="inlineStr">
        <is>
          <t>百分点</t>
        </is>
      </c>
      <c r="G27" s="5" t="inlineStr">
        <is>
          <t>高优</t>
        </is>
      </c>
      <c r="H27" s="19" t="n">
        <v>0.015</v>
      </c>
      <c r="I27" s="5" t="inlineStr">
        <is>
          <t>&lt;-15 百分点</t>
        </is>
      </c>
      <c r="J27" s="5" t="inlineStr">
        <is>
          <t>[-15,-5) 百分点</t>
        </is>
      </c>
      <c r="K27" s="5" t="inlineStr">
        <is>
          <t>[-5,5) 百分点</t>
        </is>
      </c>
      <c r="L27" s="5" t="inlineStr">
        <is>
          <t>[5,15) 百分点</t>
        </is>
      </c>
      <c r="M27" s="5" t="inlineStr">
        <is>
          <t>≥15 百分点</t>
        </is>
      </c>
      <c r="N27" s="5" t="inlineStr">
        <is>
          <t>截至本月新增专项债累计发行额/当年正式批准新增额度，减上年同月累计发行额/上年批准额度；不含再融资债；首选原始机构：财政部</t>
        </is>
      </c>
      <c r="O27" t="n">
        <v>-15</v>
      </c>
      <c r="P27" t="n">
        <v>-5</v>
      </c>
      <c r="Q27" t="n">
        <v>5</v>
      </c>
      <c r="R27" t="n">
        <v>15</v>
      </c>
    </row>
    <row r="28" ht="42" customHeight="1">
      <c r="A28" s="8" t="inlineStr">
        <is>
          <t>P02A</t>
        </is>
      </c>
      <c r="B28" s="8" t="inlineStr">
        <is>
          <t>宏观调控</t>
        </is>
      </c>
      <c r="C28" s="8" t="inlineStr">
        <is>
          <t>货币政策</t>
        </is>
      </c>
      <c r="D28" s="8" t="inlineStr">
        <is>
          <t>7天逆回购政策利率近6个月变动</t>
        </is>
      </c>
      <c r="E28" s="8" t="inlineStr">
        <is>
          <t>事件驱动／月度复核</t>
        </is>
      </c>
      <c r="F28" s="8" t="inlineStr">
        <is>
          <t>基点</t>
        </is>
      </c>
      <c r="G28" s="8" t="inlineStr">
        <is>
          <t>低优</t>
        </is>
      </c>
      <c r="H28" s="17" t="n">
        <v>0.027</v>
      </c>
      <c r="I28" s="8" t="inlineStr">
        <is>
          <t>≥30 基点</t>
        </is>
      </c>
      <c r="J28" s="8" t="inlineStr">
        <is>
          <t>[10,30) 基点</t>
        </is>
      </c>
      <c r="K28" s="8" t="inlineStr">
        <is>
          <t>[-10,10) 基点</t>
        </is>
      </c>
      <c r="L28" s="8" t="inlineStr">
        <is>
          <t>[-30,-10) 基点</t>
        </is>
      </c>
      <c r="M28" s="8" t="inlineStr">
        <is>
          <t>&lt;-30 基点</t>
        </is>
      </c>
      <c r="N28" s="8" t="inlineStr">
        <is>
          <t>本期央行7天逆回购政策利率减6个月前同政策利率；已正式公布的调整计入，不用LPR或DR007替代；首选原始机构：中国人民银行</t>
        </is>
      </c>
      <c r="O28" t="n">
        <v>-30</v>
      </c>
      <c r="P28" t="n">
        <v>-10</v>
      </c>
      <c r="Q28" t="n">
        <v>10</v>
      </c>
      <c r="R28" t="n">
        <v>30</v>
      </c>
    </row>
    <row r="29" ht="42" customHeight="1">
      <c r="A29" s="5" t="inlineStr">
        <is>
          <t>P02B</t>
        </is>
      </c>
      <c r="B29" s="5" t="inlineStr">
        <is>
          <t>宏观调控</t>
        </is>
      </c>
      <c r="C29" s="5" t="inlineStr">
        <is>
          <t>货币政策</t>
        </is>
      </c>
      <c r="D29" s="5" t="inlineStr">
        <is>
          <t>法定存款准备金率近6个月变动</t>
        </is>
      </c>
      <c r="E29" s="5" t="inlineStr">
        <is>
          <t>事件驱动／月度复核</t>
        </is>
      </c>
      <c r="F29" s="5" t="inlineStr">
        <is>
          <t>基点</t>
        </is>
      </c>
      <c r="G29" s="5" t="inlineStr">
        <is>
          <t>低优</t>
        </is>
      </c>
      <c r="H29" s="19" t="n">
        <v>0.021</v>
      </c>
      <c r="I29" s="5" t="inlineStr">
        <is>
          <t>≥100 基点</t>
        </is>
      </c>
      <c r="J29" s="5" t="inlineStr">
        <is>
          <t>[50,100) 基点</t>
        </is>
      </c>
      <c r="K29" s="5" t="inlineStr">
        <is>
          <t>[-50,50) 基点</t>
        </is>
      </c>
      <c r="L29" s="5" t="inlineStr">
        <is>
          <t>[-100,-50) 基点</t>
        </is>
      </c>
      <c r="M29" s="5" t="inlineStr">
        <is>
          <t>&lt;-100 基点</t>
        </is>
      </c>
      <c r="N29" s="5" t="inlineStr">
        <is>
          <t>本期与6个月前同类机构法定准备金率差；分档或定向调整须说明覆盖范围；正式核实未调整时填0；首选原始机构：中国人民银行</t>
        </is>
      </c>
      <c r="O29" t="n">
        <v>-100</v>
      </c>
      <c r="P29" t="n">
        <v>-50</v>
      </c>
      <c r="Q29" t="n">
        <v>50</v>
      </c>
      <c r="R29" t="n">
        <v>100</v>
      </c>
    </row>
    <row r="30" ht="42" customHeight="1">
      <c r="A30" s="8" t="inlineStr">
        <is>
          <t>P02C</t>
        </is>
      </c>
      <c r="B30" s="8" t="inlineStr">
        <is>
          <t>宏观调控</t>
        </is>
      </c>
      <c r="C30" s="8" t="inlineStr">
        <is>
          <t>货币政策</t>
        </is>
      </c>
      <c r="D30" s="8" t="inlineStr">
        <is>
          <t>结构性货币政策工具近3月净投放/GDP</t>
        </is>
      </c>
      <c r="E30" s="8" t="inlineStr">
        <is>
          <t>月度</t>
        </is>
      </c>
      <c r="F30" s="8" t="inlineStr">
        <is>
          <t>占GDP百分比</t>
        </is>
      </c>
      <c r="G30" s="8" t="inlineStr">
        <is>
          <t>高优</t>
        </is>
      </c>
      <c r="H30" s="17" t="n">
        <v>0.012</v>
      </c>
      <c r="I30" s="8" t="inlineStr">
        <is>
          <t>&lt;-0.1 占GDP百分比</t>
        </is>
      </c>
      <c r="J30" s="8" t="inlineStr">
        <is>
          <t>[-0.1,-0.025) 占GDP百分比</t>
        </is>
      </c>
      <c r="K30" s="8" t="inlineStr">
        <is>
          <t>[-0.025,0.025) 占GDP百分比</t>
        </is>
      </c>
      <c r="L30" s="8" t="inlineStr">
        <is>
          <t>[0.025,0.1) 占GDP百分比</t>
        </is>
      </c>
      <c r="M30" s="8" t="inlineStr">
        <is>
          <t>≥0.1 占GDP百分比</t>
        </is>
      </c>
      <c r="N30" s="8" t="inlineStr">
        <is>
          <t>央行每月披露的“其他结构性货币政策工具”近3月投放减回笼之和/最近四季名义GDP；核对工具更替和口径变化；首选原始机构：中国人民银行</t>
        </is>
      </c>
      <c r="O30" t="n">
        <v>-0.1</v>
      </c>
      <c r="P30" t="n">
        <v>-0.025</v>
      </c>
      <c r="Q30" t="n">
        <v>0.025</v>
      </c>
      <c r="R30" t="n">
        <v>0.1</v>
      </c>
    </row>
    <row r="31" ht="42" customHeight="1">
      <c r="A31" s="5" t="inlineStr">
        <is>
          <t>P03</t>
        </is>
      </c>
      <c r="B31" s="5" t="inlineStr">
        <is>
          <t>宏观调控</t>
        </is>
      </c>
      <c r="C31" s="5" t="inlineStr">
        <is>
          <t>产业政策</t>
        </is>
      </c>
      <c r="D31" s="5" t="inlineStr">
        <is>
          <t>产业政策方向与工具</t>
        </is>
      </c>
      <c r="E31" s="5" t="inlineStr">
        <is>
          <t>事件驱动／月度复核</t>
        </is>
      </c>
      <c r="F31" s="5" t="inlineStr">
        <is>
          <t>1—5分</t>
        </is>
      </c>
      <c r="G31" s="5" t="inlineStr">
        <is>
          <t>原文研判</t>
        </is>
      </c>
      <c r="H31" s="19" t="n">
        <v>0.04000000000000001</v>
      </c>
      <c r="I31" s="5" t="inlineStr">
        <is>
          <t>正式政策总体撤回支持或显著抑制有效供给/竞争</t>
        </is>
      </c>
      <c r="J31" s="5" t="inlineStr">
        <is>
          <t>政策方向偏约束，或支持范围极窄、缺乏具体工具</t>
        </is>
      </c>
      <c r="K31" s="5" t="inlineStr">
        <is>
          <t>有正式方向但无具体措施，或正负影响大体抵消</t>
        </is>
      </c>
      <c r="L31" s="5" t="inlineStr">
        <is>
          <t>正式细则、资源/试点/标准和适用范围明确</t>
        </is>
      </c>
      <c r="M31" s="5" t="inlineStr">
        <is>
          <t>跨部门政策组合、资金/标准/试点和时间表明确；无需等待订单兑现</t>
        </is>
      </c>
      <c r="N31" s="5" t="inlineStr">
        <is>
          <t>逐篇核对正式原文：政策方向、覆盖范围、工具/资源、明确时点；供给侧出清和新兴产业支持均可计入，但同时记录受益及受损行业。；首选原始机构：国务院、国家发展改革委、工业和信息化部等</t>
        </is>
      </c>
    </row>
    <row r="32" ht="42" customHeight="1">
      <c r="A32" s="8" t="inlineStr">
        <is>
          <t>P04</t>
        </is>
      </c>
      <c r="B32" s="8" t="inlineStr">
        <is>
          <t>宏观调控</t>
        </is>
      </c>
      <c r="C32" s="8" t="inlineStr">
        <is>
          <t>制度建设</t>
        </is>
      </c>
      <c r="D32" s="8" t="inlineStr">
        <is>
          <t>制度建设方向与规则</t>
        </is>
      </c>
      <c r="E32" s="8" t="inlineStr">
        <is>
          <t>事件驱动／月度复核</t>
        </is>
      </c>
      <c r="F32" s="8" t="inlineStr">
        <is>
          <t>1—5分</t>
        </is>
      </c>
      <c r="G32" s="8" t="inlineStr">
        <is>
          <t>原文研判</t>
        </is>
      </c>
      <c r="H32" s="17" t="n">
        <v>0.04000000000000001</v>
      </c>
      <c r="I32" s="8" t="inlineStr">
        <is>
          <t>正式制度变化显著削弱市场准入、产权或规则稳定性</t>
        </is>
      </c>
      <c r="J32" s="8" t="inlineStr">
        <is>
          <t>方向偏限制或不确定性增加，细则不足</t>
        </is>
      </c>
      <c r="K32" s="8" t="inlineStr">
        <is>
          <t>正式改革方向已提出但机制与生效安排不明，或正负影响抵消</t>
        </is>
      </c>
      <c r="L32" s="8" t="inlineStr">
        <is>
          <t>明确的法律/制度文本、实施细则和生效时点</t>
        </is>
      </c>
      <c r="M32" s="8" t="inlineStr">
        <is>
          <t>多项关键制度的规则、责任机构及落地时间表明确；无需等待企业盈利兑现</t>
        </is>
      </c>
      <c r="N32" s="8" t="inlineStr">
        <is>
          <t>逐篇核对法律法规、国务院/监管部门正式原文：市场准入、产权与竞争、要素配置、监管可预期性；记录时点和适用范围。；首选原始机构：全国人大、国务院及相关监管部门</t>
        </is>
      </c>
    </row>
  </sheetData>
  <autoFilter ref="A3:N32"/>
  <mergeCells count="2">
    <mergeCell ref="A2:N2"/>
    <mergeCell ref="A1:N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J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60" customWidth="1" min="4" max="4"/>
    <col width="65" customWidth="1" min="5" max="5"/>
    <col width="54" customWidth="1" min="6" max="6"/>
    <col width="65" customWidth="1" min="7" max="7"/>
    <col width="20" customWidth="1" min="8" max="8"/>
    <col width="17" customWidth="1" min="9" max="9"/>
    <col width="59" customWidth="1" min="10" max="10"/>
  </cols>
  <sheetData>
    <row r="1" ht="38" customHeight="1">
      <c r="A1" s="1" t="inlineStr">
        <is>
          <t>产业政策与制度建设｜原文评分依据</t>
        </is>
      </c>
    </row>
    <row r="2" ht="33" customHeight="1">
      <c r="A2" s="2" t="inlineStr">
        <is>
          <t>只保留两个需要研判的政策类别。记录官方原文事实与研究判断，再按“评分标准”的五档规则填分；不等待增长或信贷效果兑现。</t>
        </is>
      </c>
    </row>
    <row r="4" ht="30" customHeight="1">
      <c r="A4" s="4" t="inlineStr">
        <is>
          <t>类别</t>
        </is>
      </c>
      <c r="B4" s="4" t="inlineStr">
        <is>
          <t>观察期</t>
        </is>
      </c>
      <c r="C4" s="4" t="inlineStr">
        <is>
          <t>发布日期</t>
        </is>
      </c>
      <c r="D4" s="4" t="inlineStr">
        <is>
          <t>官方原文链接</t>
        </is>
      </c>
      <c r="E4" s="4" t="inlineStr">
        <is>
          <t>官方事实摘录</t>
        </is>
      </c>
      <c r="F4" s="4" t="inlineStr">
        <is>
          <t>政策方向／覆盖范围</t>
        </is>
      </c>
      <c r="G4" s="4" t="inlineStr">
        <is>
          <t>评分理由与主要约束</t>
        </is>
      </c>
      <c r="H4" s="4" t="inlineStr">
        <is>
          <t>原文分（1—5）</t>
        </is>
      </c>
      <c r="I4" s="4" t="inlineStr">
        <is>
          <t>核验状态</t>
        </is>
      </c>
      <c r="J4" s="4" t="inlineStr">
        <is>
          <t>相关投资观察（待验证）</t>
        </is>
      </c>
    </row>
    <row r="5" ht="42" customHeight="1">
      <c r="A5" s="5" t="inlineStr">
        <is>
          <t>产业政策</t>
        </is>
      </c>
      <c r="B5" s="15" t="n"/>
      <c r="C5" s="16" t="n"/>
      <c r="D5" s="15" t="n"/>
      <c r="E5" s="15" t="n"/>
      <c r="F5" s="15" t="n"/>
      <c r="G5" s="15" t="n"/>
      <c r="H5" s="15" t="n"/>
      <c r="I5" s="15" t="inlineStr">
        <is>
          <t>待核验</t>
        </is>
      </c>
      <c r="J5" s="15" t="n"/>
    </row>
    <row r="6" ht="42" customHeight="1">
      <c r="A6" s="8" t="inlineStr">
        <is>
          <t>制度建设</t>
        </is>
      </c>
      <c r="B6" s="15" t="n"/>
      <c r="C6" s="16" t="n"/>
      <c r="D6" s="15" t="n"/>
      <c r="E6" s="15" t="n"/>
      <c r="F6" s="15" t="n"/>
      <c r="G6" s="15" t="n"/>
      <c r="H6" s="15" t="n"/>
      <c r="I6" s="15" t="inlineStr">
        <is>
          <t>待核验</t>
        </is>
      </c>
      <c r="J6" s="15" t="n"/>
    </row>
  </sheetData>
  <mergeCells count="2">
    <mergeCell ref="A1:J1"/>
    <mergeCell ref="A2:J2"/>
  </mergeCells>
  <dataValidations count="2">
    <dataValidation sqref="H5:H6" showDropDown="0" showInputMessage="0" showErrorMessage="0" allowBlank="1" type="whole" operator="between">
      <formula1>1</formula1>
      <formula2>5</formula2>
    </dataValidation>
    <dataValidation sqref="I5:I6" showDropDown="0" showInputMessage="0" showErrorMessage="0" allowBlank="0" type="list">
      <formula1>"待核验,已核验,不可用"</formula1>
    </dataValidation>
  </dataValidation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M2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9" customWidth="1" min="4" max="4"/>
    <col width="16" customWidth="1" min="5" max="5"/>
    <col width="16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67" customWidth="1" min="12" max="12"/>
    <col width="62" customWidth="1" min="13" max="13"/>
  </cols>
  <sheetData>
    <row r="1" ht="38" customHeight="1">
      <c r="A1" s="1" t="inlineStr">
        <is>
          <t>历史评级快照</t>
        </is>
      </c>
    </row>
    <row r="2" ht="33" customHeight="1">
      <c r="A2" s="2" t="inlineStr">
        <is>
          <t>月度观察、季度定级后，将总览结果“粘贴为值”追加到新行；保留当时信息截止日与规则版本，不用修订后的数据覆盖旧评级。</t>
        </is>
      </c>
    </row>
    <row r="3" ht="30" customHeight="1">
      <c r="A3" s="4" t="inlineStr">
        <is>
          <t>类型</t>
        </is>
      </c>
      <c r="B3" s="4" t="inlineStr">
        <is>
          <t>信息截止日</t>
        </is>
      </c>
      <c r="C3" s="4" t="inlineStr">
        <is>
          <t>评价期</t>
        </is>
      </c>
      <c r="D3" s="4" t="inlineStr">
        <is>
          <t>规则版本</t>
        </is>
      </c>
      <c r="E3" s="4" t="inlineStr">
        <is>
          <t>经济运行</t>
        </is>
      </c>
      <c r="F3" s="4" t="inlineStr">
        <is>
          <t>增长动力</t>
        </is>
      </c>
      <c r="G3" s="4" t="inlineStr">
        <is>
          <t>金融信贷</t>
        </is>
      </c>
      <c r="H3" s="4" t="inlineStr">
        <is>
          <t>宏观调控</t>
        </is>
      </c>
      <c r="I3" s="4" t="inlineStr">
        <is>
          <t>正式总分</t>
        </is>
      </c>
      <c r="J3" s="4" t="inlineStr">
        <is>
          <t>正式档位</t>
        </is>
      </c>
      <c r="K3" s="4" t="inlineStr">
        <is>
          <t>覆盖率</t>
        </is>
      </c>
      <c r="L3" s="4" t="inlineStr">
        <is>
          <t>政策依据／分歧</t>
        </is>
      </c>
      <c r="M3" s="4" t="inlineStr">
        <is>
          <t>投研验证点</t>
        </is>
      </c>
    </row>
    <row r="4" ht="42" customHeight="1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</row>
    <row r="5" ht="42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 ht="42" customHeight="1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</row>
    <row r="7" ht="42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 ht="42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</row>
    <row r="9" ht="42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</row>
    <row r="10" ht="42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</row>
    <row r="11" ht="42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 ht="42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</row>
    <row r="13" ht="42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42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</row>
    <row r="15" ht="42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42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</row>
    <row r="17" ht="42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 ht="42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</row>
    <row r="19" ht="42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 ht="42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</row>
    <row r="21" ht="42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 ht="42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</row>
    <row r="23" ht="42" customHeight="1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 ht="42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</row>
    <row r="25" ht="42" customHeight="1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 ht="42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</row>
    <row r="27" ht="42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</sheetData>
  <autoFilter ref="A3:M27"/>
  <mergeCells count="2">
    <mergeCell ref="A2:M2"/>
    <mergeCell ref="A1:M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2026-10-02T13:20:48Z</dcterms:created>
  <dcterms:modified xmlns:dcterms="http://purl.org/dc/terms/" xmlns:xsi="http://www.w3.org/2001/XMLSchema-instance" xsi:type="dcterms:W3CDTF">2026-10-02T13:20:48Z</dcterms:modified>
</cp:coreProperties>
</file>
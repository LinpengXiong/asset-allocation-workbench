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权重配置" sheetId="2" state="visible" r:id="rId2"/>
    <sheet xmlns:r="http://schemas.openxmlformats.org/officeDocument/2006/relationships" name="02_指标取舍" sheetId="3" state="visible" r:id="rId3"/>
    <sheet xmlns:r="http://schemas.openxmlformats.org/officeDocument/2006/relationships" name="03_核心评分规则" sheetId="4" state="visible" r:id="rId4"/>
    <sheet xmlns:r="http://schemas.openxmlformats.org/officeDocument/2006/relationships" name="04_本期录入" sheetId="5" state="visible" r:id="rId5"/>
    <sheet xmlns:r="http://schemas.openxmlformats.org/officeDocument/2006/relationships" name="05_评级汇总" sheetId="6" state="visible" r:id="rId6"/>
    <sheet xmlns:r="http://schemas.openxmlformats.org/officeDocument/2006/relationships" name="06_政策评分录入" sheetId="7" state="visible" r:id="rId7"/>
    <sheet xmlns:r="http://schemas.openxmlformats.org/officeDocument/2006/relationships" name="06A_政策评分细则" sheetId="8" state="visible" r:id="rId8"/>
    <sheet xmlns:r="http://schemas.openxmlformats.org/officeDocument/2006/relationships" name="07_政策事件台账" sheetId="9" state="visible" r:id="rId9"/>
    <sheet xmlns:r="http://schemas.openxmlformats.org/officeDocument/2006/relationships" name="08_历史留档" sheetId="10" state="visible" r:id="rId10"/>
    <sheet xmlns:r="http://schemas.openxmlformats.org/officeDocument/2006/relationships" name="09_关键修订" sheetId="11" state="visible" r:id="rId11"/>
    <sheet xmlns:r="http://schemas.openxmlformats.org/officeDocument/2006/relationships" name="10_核验依据" sheetId="12" state="visible" r:id="rId12"/>
    <sheet xmlns:r="http://schemas.openxmlformats.org/officeDocument/2006/relationships" name="11_填表示例" sheetId="13" state="visible" r:id="rId13"/>
    <sheet xmlns:r="http://schemas.openxmlformats.org/officeDocument/2006/relationships" name="原稿_总框架" sheetId="14" state="visible" r:id="rId14"/>
    <sheet xmlns:r="http://schemas.openxmlformats.org/officeDocument/2006/relationships" name="原稿_跟踪指标" sheetId="15" state="visible" r:id="rId15"/>
    <sheet xmlns:r="http://schemas.openxmlformats.org/officeDocument/2006/relationships" name="原稿_评分权重" sheetId="16" state="visible" r:id="rId16"/>
    <sheet xmlns:r="http://schemas.openxmlformats.org/officeDocument/2006/relationships" name="原稿_指标打分" sheetId="17" state="visible" r:id="rId17"/>
  </sheets>
  <definedNames>
    <definedName name="_xlnm._FilterDatabase" localSheetId="2" hidden="1">'02_指标取舍'!$A$3:$I$77</definedName>
    <definedName name="_xlnm._FilterDatabase" localSheetId="3" hidden="1">'03_核心评分规则'!$A$3:$X$24</definedName>
    <definedName name="_xlnm._FilterDatabase" localSheetId="4" hidden="1">'04_本期录入'!$A$3:$L$24</definedName>
    <definedName name="_xlnm._FilterDatabase" localSheetId="8" hidden="1">'07_政策事件台账'!$A$3:$J$23</definedName>
    <definedName name="_xlnm._FilterDatabase" localSheetId="9" hidden="1">'08_历史留档'!$A$3:$Q$23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"/>
  </numFmts>
  <fonts count="14">
    <font>
      <name val="Calibri"/>
      <family val="2"/>
      <color theme="1"/>
      <sz val="11"/>
      <scheme val="minor"/>
    </font>
    <font>
      <name val="PingFang SC"/>
      <b val="1"/>
      <color rgb="00FFFFFF"/>
      <sz val="18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  <sz val="10"/>
    </font>
    <font>
      <name val="PingFang SC"/>
      <b val="1"/>
      <color rgb="0072252A"/>
    </font>
    <font>
      <name val="PingFang SC"/>
      <b val="1"/>
      <color rgb="00282B2D"/>
      <sz val="12"/>
    </font>
    <font>
      <name val="Calibri"/>
      <family val="2"/>
      <color theme="10"/>
      <sz val="12"/>
      <scheme val="minor"/>
    </font>
    <font>
      <name val="微软雅黑"/>
      <charset val="134"/>
      <b val="1"/>
      <color rgb="FFFFFFFF"/>
      <sz val="18"/>
    </font>
    <font>
      <name val="微软雅黑"/>
      <charset val="134"/>
      <b val="1"/>
      <color rgb="FFFFFFFF"/>
      <sz val="10"/>
    </font>
    <font>
      <name val="微软雅黑"/>
      <charset val="134"/>
      <color rgb="FF17202B"/>
      <sz val="10"/>
    </font>
    <font>
      <name val="微软雅黑"/>
      <charset val="134"/>
      <color rgb="FF5C6470"/>
      <sz val="11"/>
    </font>
    <font>
      <name val="微软雅黑"/>
      <charset val="134"/>
      <sz val="9"/>
    </font>
  </fonts>
  <fills count="13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FFF"/>
      </patternFill>
    </fill>
    <fill>
      <patternFill patternType="solid">
        <fgColor rgb="00FBF8F4"/>
      </patternFill>
    </fill>
    <fill>
      <patternFill patternType="solid">
        <fgColor rgb="00FFF6DD"/>
      </patternFill>
    </fill>
    <fill>
      <patternFill patternType="solid">
        <fgColor rgb="FF17202B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1A3A5C"/>
        <bgColor rgb="FF1A3A5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bottom style="hair">
        <color rgb="00E5DDD2"/>
      </bottom>
    </border>
    <border>
      <left style="thin">
        <color rgb="FFD8D0C2"/>
      </left>
      <right style="thin">
        <color rgb="FFD8D0C2"/>
      </right>
      <top style="thin">
        <color rgb="FFD8D0C2"/>
      </top>
      <bottom style="thin">
        <color rgb="FFD8D0C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10" fontId="0" fillId="0" borderId="0" pivotButton="0" quotePrefix="0" xfId="0"/>
    <xf numFmtId="9" fontId="0" fillId="0" borderId="0" pivotButton="0" quotePrefix="0" xfId="0"/>
    <xf numFmtId="164" fontId="4" fillId="5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166" fontId="4" fillId="4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6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165" fontId="0" fillId="6" borderId="0" pivotButton="0" quotePrefix="0" xfId="0"/>
    <xf numFmtId="9" fontId="4" fillId="5" borderId="1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8" fillId="0" borderId="0" pivotButton="0" quotePrefix="0" xfId="1"/>
    <xf numFmtId="0" fontId="9" fillId="7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/>
    </xf>
    <xf numFmtId="9" fontId="11" fillId="8" borderId="2" applyAlignment="1" pivotButton="0" quotePrefix="0" xfId="0">
      <alignment horizontal="center" vertical="center" wrapText="1"/>
    </xf>
    <xf numFmtId="9" fontId="11" fillId="0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1" fillId="8" borderId="2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8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www.stats.gov.cn/sj/zxfbhjd/202604/t20260417_1963336.html" TargetMode="External" Id="rId1"/><Relationship Type="http://schemas.openxmlformats.org/officeDocument/2006/relationships/hyperlink" Target="https://www.pbc.gov.cn/rmyh/109339/2025080818580470423/index.html" TargetMode="External" Id="rId2"/><Relationship Type="http://schemas.openxmlformats.org/officeDocument/2006/relationships/hyperlink" Target="https://www.stats.gov.cn/hd/lyzx/zxgk/202406/t20240619_1955075.html" TargetMode="External" Id="rId3"/><Relationship Type="http://schemas.openxmlformats.org/officeDocument/2006/relationships/hyperlink" Target="https://www.stats.gov.cn/sj/zxfbhjd/202608/t20260831_1965154.html" TargetMode="External" Id="rId4"/><Relationship Type="http://schemas.openxmlformats.org/officeDocument/2006/relationships/hyperlink" Target="https://www.stats.gov.cn/zs/tjwh/tjkw/tjqk/zgxxb/202605/P020260519307748534827.pdf" TargetMode="External" Id="rId5"/><Relationship Type="http://schemas.openxmlformats.org/officeDocument/2006/relationships/hyperlink" Target="https://www.stats.gov.cn/sj/zxfb/202609/t20260915_1965310.html" TargetMode="External" Id="rId6"/><Relationship Type="http://schemas.openxmlformats.org/officeDocument/2006/relationships/hyperlink" Target="https://www.safe.gov.cn/big5/big5/www.safe.gov.cn/safe/file/file/20250328/7bb9c7c80cc44982b9dfe749ceb1df6b.pdf" TargetMode="External" Id="rId7"/><Relationship Type="http://schemas.openxmlformats.org/officeDocument/2006/relationships/hyperlink" Target="https://www.mofcom.gov.cn/syxwfb/art/2025/art_de35cba3eb5d4c369b089135e92ba890.html" TargetMode="External" Id="rId8"/><Relationship Type="http://schemas.openxmlformats.org/officeDocument/2006/relationships/hyperlink" Target="https://www.imf.org/en/news/articles/2026/02/18/pr-26053-china-imf-executive-board-concludes-2025-article-iv-consultation" TargetMode="External" Id="rId9"/></Relationships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55" customWidth="1" min="2" max="2"/>
    <col width="30" customWidth="1" min="3" max="3"/>
    <col width="30" customWidth="1" min="4" max="4"/>
    <col width="31" customWidth="1" min="5" max="5"/>
    <col width="29" customWidth="1" min="6" max="6"/>
  </cols>
  <sheetData>
    <row r="1" ht="42" customHeight="1">
      <c r="A1" s="1" t="inlineStr">
        <is>
          <t>中国宏观评级框架｜四支柱优化建议版</t>
        </is>
      </c>
    </row>
    <row r="2" ht="32" customHeight="1">
      <c r="A2" s="2" t="inlineStr">
        <is>
          <t>研究试行版 · 未来一季宏观投资环境 · 不含本期数据 · 原文件及上一版建议稿均不修改</t>
        </is>
      </c>
    </row>
    <row r="4" ht="30" customHeight="1">
      <c r="A4" s="3" t="inlineStr">
        <is>
          <t>步骤</t>
        </is>
      </c>
      <c r="B4" s="3" t="inlineStr">
        <is>
          <t>使用方式</t>
        </is>
      </c>
      <c r="C4" s="3" t="inlineStr">
        <is>
          <t>结果</t>
        </is>
      </c>
      <c r="D4" s="3" t="inlineStr">
        <is>
          <t>必要核验</t>
        </is>
      </c>
      <c r="E4" s="3" t="inlineStr">
        <is>
          <t>不可做的事</t>
        </is>
      </c>
      <c r="F4" s="3" t="inlineStr">
        <is>
          <t>备注</t>
        </is>
      </c>
    </row>
    <row r="5" ht="42" customHeight="1">
      <c r="A5" s="4" t="inlineStr">
        <is>
          <t>1. 审定框架</t>
        </is>
      </c>
      <c r="B5" s="4" t="inlineStr">
        <is>
          <t>查看01四支柱权重、03基本面规则和06政策规则</t>
        </is>
      </c>
      <c r="C5" s="4" t="inlineStr">
        <is>
          <t>获得明确的计分口径</t>
        </is>
      </c>
      <c r="D5" s="4" t="inlineStr">
        <is>
          <t>历史回测与投资复盘</t>
        </is>
      </c>
      <c r="E5" s="4" t="inlineStr">
        <is>
          <t>把试行阈值称作官方标准</t>
        </is>
      </c>
      <c r="F5" s="4" t="inlineStr">
        <is>
          <t>总分评估未来一季环境，当前基本面另列</t>
        </is>
      </c>
    </row>
    <row r="6" ht="42" customHeight="1">
      <c r="A6" s="5" t="inlineStr">
        <is>
          <t>2. 取舍指标</t>
        </is>
      </c>
      <c r="B6" s="5" t="inlineStr">
        <is>
          <t>02保留原67项并说明核心/辅助/事件/派生，新增5项候选</t>
        </is>
      </c>
      <c r="C6" s="5" t="inlineStr">
        <is>
          <t>减少重复计分</t>
        </is>
      </c>
      <c r="D6" s="5" t="inlineStr">
        <is>
          <t>核验原始数据的频率和定义</t>
        </is>
      </c>
      <c r="E6" s="5" t="inlineStr">
        <is>
          <t>直接删掉原稿历史</t>
        </is>
      </c>
      <c r="F6" s="5" t="inlineStr">
        <is>
          <t>辅助指标仍用于解释</t>
        </is>
      </c>
    </row>
    <row r="7" ht="42" customHeight="1">
      <c r="A7" s="4" t="inlineStr">
        <is>
          <t>3. 月度观察</t>
        </is>
      </c>
      <c r="B7" s="4" t="inlineStr">
        <is>
          <t>先在05填写信息截止日，再在04录入统计期、发布日期、数值和来源</t>
        </is>
      </c>
      <c r="C7" s="4" t="inlineStr">
        <is>
          <t>计算月度观察分及覆盖率</t>
        </is>
      </c>
      <c r="D7" s="4" t="inlineStr">
        <is>
          <t>仅使用截止日之前已发布的值</t>
        </is>
      </c>
      <c r="E7" s="4" t="inlineStr">
        <is>
          <t>用未来修订值回填当期判断</t>
        </is>
      </c>
      <c r="F7" s="4" t="inlineStr">
        <is>
          <t>季度GDP可用当时已发布的最新一期</t>
        </is>
      </c>
    </row>
    <row r="8" ht="42" customHeight="1">
      <c r="A8" s="5" t="inlineStr">
        <is>
          <t>4. 政策评分</t>
        </is>
      </c>
      <c r="B8" s="5" t="inlineStr">
        <is>
          <t>在06填写财政、货币、产业、制度的正式信号、资源与执行证据</t>
        </is>
      </c>
      <c r="C8" s="5" t="inlineStr">
        <is>
          <t>形成宏观调控分</t>
        </is>
      </c>
      <c r="D8" s="5" t="inlineStr">
        <is>
          <t>必须有官方链接、发布日期与截至评价日信息</t>
        </is>
      </c>
      <c r="E8" s="5" t="inlineStr">
        <is>
          <t>低利率或高赤字自动给高分</t>
        </is>
      </c>
      <c r="F8" s="5" t="inlineStr">
        <is>
          <t>传导结果由前三支柱验证，不双计</t>
        </is>
      </c>
    </row>
    <row r="9" ht="42" customHeight="1">
      <c r="A9" s="4" t="inlineStr">
        <is>
          <t>5. 季度定级</t>
        </is>
      </c>
      <c r="B9" s="4" t="inlineStr">
        <is>
          <t>看05的基本面分、政策分和四支柱总分</t>
        </is>
      </c>
      <c r="C9" s="4" t="inlineStr">
        <is>
          <t>形成未来一季评级</t>
        </is>
      </c>
      <c r="D9" s="4" t="inlineStr">
        <is>
          <t>总覆盖85%才给暂定分；全覆盖才正式定级</t>
        </is>
      </c>
      <c r="E9" s="4" t="inlineStr">
        <is>
          <t>缺项默认为3分或让余项变更权重</t>
        </is>
      </c>
      <c r="F9" s="4" t="inlineStr">
        <is>
          <t>政策权重固定20%，不能临时上调</t>
        </is>
      </c>
    </row>
    <row r="10" ht="42" customHeight="1">
      <c r="A10" s="5" t="inlineStr">
        <is>
          <t>6. 历史留档</t>
        </is>
      </c>
      <c r="B10" s="5" t="inlineStr">
        <is>
          <t>定级后将05结果复制为值到08，留截止日与规则版本</t>
        </is>
      </c>
      <c r="C10" s="5" t="inlineStr">
        <is>
          <t>可复盘上期变化</t>
        </is>
      </c>
      <c r="D10" s="5" t="inlineStr">
        <is>
          <t>保留初值与修订值</t>
        </is>
      </c>
      <c r="E10" s="5" t="inlineStr">
        <is>
          <t>用公式链接覆盖旧评级</t>
        </is>
      </c>
      <c r="F10" s="5" t="inlineStr">
        <is>
          <t>原稿四表在后面备查</t>
        </is>
      </c>
    </row>
    <row r="12" ht="42" customHeight="1">
      <c r="A12" s="6" t="inlineStr">
        <is>
          <t>来源顺序：官方原始发布 → Wind → 财新数据 API。后两级仅在前级无法满足时补充，并保留代码/序列ID、原始发布机构、期数、单位、口径及重叠期核对。</t>
        </is>
      </c>
    </row>
    <row r="14" ht="38" customHeight="1">
      <c r="A14" s="6" t="inlineStr">
        <is>
          <t>权重和阈值是研究建议，不是官方评级标准；虽然四支柱权重沿用原稿，但指标取舍和政策规则已改变，新旧分数不能直接比较。正式使用前至少回测一个完整信用/地产周期。</t>
        </is>
      </c>
    </row>
  </sheetData>
  <mergeCells count="4">
    <mergeCell ref="A2:F2"/>
    <mergeCell ref="A14:F14"/>
    <mergeCell ref="A1:F1"/>
    <mergeCell ref="A12:F12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4" customWidth="1" min="3" max="3"/>
    <col width="58" customWidth="1" min="4" max="4"/>
    <col width="22" customWidth="1" min="5" max="5"/>
    <col width="65" customWidth="1" min="6" max="6"/>
  </cols>
  <sheetData>
    <row r="1" ht="42" customHeight="1">
      <c r="A1" s="1" t="inlineStr">
        <is>
          <t>四支柱固定权重｜基本面与政策并列</t>
        </is>
      </c>
    </row>
    <row r="2" ht="32" customHeight="1">
      <c r="A2" s="2" t="inlineStr">
        <is>
          <t>总评级评估未来一季宏观投资环境；基本面分单列。20%宏观调控权重为试行值，需对15%/20%/25%做历史敏感性检验。</t>
        </is>
      </c>
    </row>
    <row r="3" ht="30" customHeight="1">
      <c r="A3" s="3" t="inlineStr">
        <is>
          <t>一级支柱</t>
        </is>
      </c>
      <c r="B3" s="3" t="inlineStr">
        <is>
          <t>新版权重</t>
        </is>
      </c>
      <c r="C3" s="3" t="inlineStr">
        <is>
          <t>原稿权重</t>
        </is>
      </c>
      <c r="D3" s="3" t="inlineStr">
        <is>
          <t>二级结构（支柱内）</t>
        </is>
      </c>
      <c r="E3" s="3" t="inlineStr">
        <is>
          <t>纳入方式</t>
        </is>
      </c>
      <c r="F3" s="3" t="inlineStr">
        <is>
          <t>理由</t>
        </is>
      </c>
    </row>
    <row r="4" ht="42" customHeight="1">
      <c r="A4" s="5" t="inlineStr">
        <is>
          <t>经济运行</t>
        </is>
      </c>
      <c r="B4" s="7" t="n">
        <v>0.3</v>
      </c>
      <c r="C4" s="7" t="n">
        <v>0.3</v>
      </c>
      <c r="D4" s="5" t="inlineStr">
        <is>
          <t>增长30%；价格30%；就业20%；景气20%</t>
        </is>
      </c>
      <c r="E4" s="5" t="inlineStr">
        <is>
          <t>基本面</t>
        </is>
      </c>
      <c r="F4" s="5" t="inlineStr">
        <is>
          <t>避免汇率与顺差绝对值压过就业和价格</t>
        </is>
      </c>
    </row>
    <row r="5" ht="42" customHeight="1">
      <c r="A5" s="4" t="inlineStr">
        <is>
          <t>增长动力</t>
        </is>
      </c>
      <c r="B5" s="8" t="n">
        <v>0.25</v>
      </c>
      <c r="C5" s="8" t="n">
        <v>0.25</v>
      </c>
      <c r="D5" s="4" t="inlineStr">
        <is>
          <t>工业20%；地产20%；投资25%；消费25%；出口10%</t>
        </is>
      </c>
      <c r="E5" s="4" t="inlineStr">
        <is>
          <t>基本面</t>
        </is>
      </c>
      <c r="F5" s="4" t="inlineStr">
        <is>
          <t>提高消费与民间投资的可解释性</t>
        </is>
      </c>
    </row>
    <row r="6" ht="42" customHeight="1">
      <c r="A6" s="5" t="inlineStr">
        <is>
          <t>金融信贷</t>
        </is>
      </c>
      <c r="B6" s="7" t="n">
        <v>0.25</v>
      </c>
      <c r="C6" s="7" t="n">
        <v>0.25</v>
      </c>
      <c r="D6" s="5" t="inlineStr">
        <is>
          <t>信贷结构35%；社会融资40%；货币供给25%</t>
        </is>
      </c>
      <c r="E6" s="5" t="inlineStr">
        <is>
          <t>基本面</t>
        </is>
      </c>
      <c r="F6" s="5" t="inlineStr">
        <is>
          <t>补足贷款结构，避免利率类重复计分</t>
        </is>
      </c>
    </row>
    <row r="7" ht="42" customHeight="1">
      <c r="A7" s="4" t="inlineStr">
        <is>
          <t>宏观调控</t>
        </is>
      </c>
      <c r="B7" s="8" t="n">
        <v>0.2</v>
      </c>
      <c r="C7" s="8" t="n">
        <v>0.2</v>
      </c>
      <c r="D7" s="4" t="inlineStr">
        <is>
          <t>财政30%；货币30%；产业20%；制度20%</t>
        </is>
      </c>
      <c r="E7" s="4" t="inlineStr">
        <is>
          <t>政策前瞻分</t>
        </is>
      </c>
      <c r="F7" s="4" t="inlineStr">
        <is>
          <t>评价正式方向、资源与执行；实际效果回前三支柱验证</t>
        </is>
      </c>
    </row>
    <row r="9">
      <c r="A9" t="inlineStr">
        <is>
          <t>新版四支柱权重合计</t>
        </is>
      </c>
      <c r="B9" s="9">
        <f>SUM(B4:B7)</f>
        <v/>
      </c>
    </row>
    <row r="10">
      <c r="A10" t="inlineStr">
        <is>
          <t>原稿四支柱合计</t>
        </is>
      </c>
      <c r="C10" s="9">
        <f>SUM(C4:C7)</f>
        <v/>
      </c>
    </row>
    <row r="12">
      <c r="A12" t="inlineStr">
        <is>
          <t>暂定评级覆盖门槛</t>
        </is>
      </c>
      <c r="B12" s="10" t="n">
        <v>0.85</v>
      </c>
    </row>
    <row r="13">
      <c r="A13" t="inlineStr">
        <is>
          <t>单支柱最低覆盖</t>
        </is>
      </c>
      <c r="B13" s="10" t="n">
        <v>0.7</v>
      </c>
    </row>
    <row r="14">
      <c r="A14" t="inlineStr">
        <is>
          <t>正式评级覆盖门槛</t>
        </is>
      </c>
      <c r="B14" s="10" t="n">
        <v>1</v>
      </c>
    </row>
    <row r="15" ht="30" customHeight="1">
      <c r="A15" s="3" t="inlineStr">
        <is>
          <t>档位</t>
        </is>
      </c>
      <c r="B15" s="3" t="inlineStr">
        <is>
          <t>区间（左闭右开；I含5）</t>
        </is>
      </c>
      <c r="C15" s="3" t="inlineStr">
        <is>
          <t>解释</t>
        </is>
      </c>
    </row>
    <row r="16" ht="42" customHeight="1">
      <c r="A16" s="5" t="inlineStr">
        <is>
          <t>I档 强复苏</t>
        </is>
      </c>
      <c r="B16" s="5" t="inlineStr">
        <is>
          <t>4.2 ≤ 分数 ≤ 5.0</t>
        </is>
      </c>
      <c r="C16" s="5" t="inlineStr">
        <is>
          <t>关注估值透支与拥挤</t>
        </is>
      </c>
    </row>
    <row r="17" ht="42" customHeight="1">
      <c r="A17" s="4" t="inlineStr">
        <is>
          <t>II档 温和改善</t>
        </is>
      </c>
      <c r="B17" s="4" t="inlineStr">
        <is>
          <t>3.4 ≤ 分数 &lt; 4.2</t>
        </is>
      </c>
      <c r="C17" s="4" t="inlineStr">
        <is>
          <t>关注修复持续性</t>
        </is>
      </c>
    </row>
    <row r="18" ht="42" customHeight="1">
      <c r="A18" s="5" t="inlineStr">
        <is>
          <t>III档 中性平稳</t>
        </is>
      </c>
      <c r="B18" s="5" t="inlineStr">
        <is>
          <t>2.6 ≤ 分数 &lt; 3.4</t>
        </is>
      </c>
      <c r="C18" s="5" t="inlineStr">
        <is>
          <t>关注结构分化</t>
        </is>
      </c>
    </row>
    <row r="19" ht="42" customHeight="1">
      <c r="A19" s="4" t="inlineStr">
        <is>
          <t>IV档 偏弱承压</t>
        </is>
      </c>
      <c r="B19" s="4" t="inlineStr">
        <is>
          <t>1.8 ≤ 分数 &lt; 2.6</t>
        </is>
      </c>
      <c r="C19" s="4" t="inlineStr">
        <is>
          <t>关注政策传导与风险</t>
        </is>
      </c>
    </row>
    <row r="20" ht="42" customHeight="1">
      <c r="A20" s="5" t="inlineStr">
        <is>
          <t>V档 明显下行</t>
        </is>
      </c>
      <c r="B20" s="5" t="inlineStr">
        <is>
          <t>1.0 ≤ 分数 &lt; 1.8</t>
        </is>
      </c>
      <c r="C20" s="5" t="inlineStr">
        <is>
          <t>关注流动性和信用风险</t>
        </is>
      </c>
    </row>
  </sheetData>
  <mergeCells count="2">
    <mergeCell ref="A2:F2"/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I7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50" customWidth="1" min="5" max="5"/>
    <col width="14" customWidth="1" min="6" max="6"/>
    <col width="28" customWidth="1" min="7" max="7"/>
    <col width="76" customWidth="1" min="8" max="8"/>
    <col width="15" customWidth="1" min="9" max="9"/>
  </cols>
  <sheetData>
    <row r="1" ht="42" customHeight="1">
      <c r="A1" s="1" t="inlineStr">
        <is>
          <t>指标取舍｜原稿完整保留</t>
        </is>
      </c>
    </row>
    <row r="2" ht="32" customHeight="1">
      <c r="A2" s="2" t="inlineStr">
        <is>
          <t>全部原始跟踪指标保留并标记用途；核心项在03有可计算规则，其他项目用于解释与复核，不自动进入总分。</t>
        </is>
      </c>
    </row>
    <row r="3" ht="30" customHeight="1">
      <c r="A3" s="3" t="inlineStr">
        <is>
          <t>序号</t>
        </is>
      </c>
      <c r="B3" s="3" t="inlineStr">
        <is>
          <t>来源</t>
        </is>
      </c>
      <c r="C3" s="3" t="inlineStr">
        <is>
          <t>一级</t>
        </is>
      </c>
      <c r="D3" s="3" t="inlineStr">
        <is>
          <t>二级</t>
        </is>
      </c>
      <c r="E3" s="3" t="inlineStr">
        <is>
          <t>指标</t>
        </is>
      </c>
      <c r="F3" s="3" t="inlineStr">
        <is>
          <t>频率</t>
        </is>
      </c>
      <c r="G3" s="3" t="inlineStr">
        <is>
          <t>新版角色</t>
        </is>
      </c>
      <c r="H3" s="3" t="inlineStr">
        <is>
          <t>取舍理由／口径风险</t>
        </is>
      </c>
      <c r="I3" s="3" t="inlineStr">
        <is>
          <t>原始表行号</t>
        </is>
      </c>
    </row>
    <row r="4" ht="42" customHeight="1">
      <c r="A4" s="5" t="n">
        <v>1</v>
      </c>
      <c r="B4" s="5" t="inlineStr">
        <is>
          <t>原稿</t>
        </is>
      </c>
      <c r="C4" s="5" t="inlineStr">
        <is>
          <t>经济运行</t>
        </is>
      </c>
      <c r="D4" s="5" t="inlineStr">
        <is>
          <t>经济增长</t>
        </is>
      </c>
      <c r="E4" s="5" t="inlineStr">
        <is>
          <t>GDP总量（亿元）</t>
        </is>
      </c>
      <c r="F4" s="5" t="inlineStr">
        <is>
          <t>季度</t>
        </is>
      </c>
      <c r="G4" s="5" t="inlineStr">
        <is>
          <t>辅助观察</t>
        </is>
      </c>
      <c r="H4" s="5" t="inlineStr">
        <is>
          <t>规模随时间自然扩张，固定绝对值阈值不适合评级</t>
        </is>
      </c>
      <c r="I4" s="5" t="n">
        <v>4</v>
      </c>
    </row>
    <row r="5" ht="42" customHeight="1">
      <c r="A5" s="4" t="n">
        <v>2</v>
      </c>
      <c r="B5" s="4" t="inlineStr">
        <is>
          <t>原稿</t>
        </is>
      </c>
      <c r="C5" s="4" t="inlineStr">
        <is>
          <t>经济运行</t>
        </is>
      </c>
      <c r="D5" s="4" t="inlineStr">
        <is>
          <t>经济增长</t>
        </is>
      </c>
      <c r="E5" s="4" t="inlineStr">
        <is>
          <t>GDP同比增速（%）</t>
        </is>
      </c>
      <c r="F5" s="4" t="inlineStr">
        <is>
          <t>季度</t>
        </is>
      </c>
      <c r="G5" s="4" t="inlineStr">
        <is>
          <t>核心计分</t>
        </is>
      </c>
      <c r="H5" s="4" t="inlineStr">
        <is>
          <t>保留用于结构拆分、边际验证或交叉核验；暂不重复进入状态总分</t>
        </is>
      </c>
      <c r="I5" s="4" t="n">
        <v>5</v>
      </c>
    </row>
    <row r="6" ht="42" customHeight="1">
      <c r="A6" s="5" t="n">
        <v>3</v>
      </c>
      <c r="B6" s="5" t="inlineStr">
        <is>
          <t>原稿</t>
        </is>
      </c>
      <c r="C6" s="5" t="inlineStr">
        <is>
          <t>经济运行</t>
        </is>
      </c>
      <c r="D6" s="5" t="inlineStr">
        <is>
          <t>经济增长</t>
        </is>
      </c>
      <c r="E6" s="5" t="inlineStr">
        <is>
          <t>GDP环比增速（%）</t>
        </is>
      </c>
      <c r="F6" s="5" t="inlineStr">
        <is>
          <t>季度</t>
        </is>
      </c>
      <c r="G6" s="5" t="inlineStr">
        <is>
          <t>辅助观察</t>
        </is>
      </c>
      <c r="H6" s="5" t="inlineStr">
        <is>
          <t>用于拐点验证；与GDP同比重复计分且季调值会修订</t>
        </is>
      </c>
      <c r="I6" s="5" t="n">
        <v>6</v>
      </c>
    </row>
    <row r="7" ht="42" customHeight="1">
      <c r="A7" s="4" t="n">
        <v>4</v>
      </c>
      <c r="B7" s="4" t="inlineStr">
        <is>
          <t>原稿</t>
        </is>
      </c>
      <c r="C7" s="4" t="inlineStr">
        <is>
          <t>经济运行</t>
        </is>
      </c>
      <c r="D7" s="4" t="inlineStr">
        <is>
          <t>经济增长</t>
        </is>
      </c>
      <c r="E7" s="4" t="inlineStr">
        <is>
          <t>GDP平减指数</t>
        </is>
      </c>
      <c r="F7" s="4" t="inlineStr">
        <is>
          <t>季度</t>
        </is>
      </c>
      <c r="G7" s="4" t="inlineStr">
        <is>
          <t>辅助观察</t>
        </is>
      </c>
      <c r="H7" s="4" t="inlineStr">
        <is>
          <t>重要但需同口径名义/实际GDP计算，先作价格验证</t>
        </is>
      </c>
      <c r="I7" s="4" t="n">
        <v>7</v>
      </c>
    </row>
    <row r="8" ht="42" customHeight="1">
      <c r="A8" s="5" t="n">
        <v>5</v>
      </c>
      <c r="B8" s="5" t="inlineStr">
        <is>
          <t>原稿</t>
        </is>
      </c>
      <c r="C8" s="5" t="inlineStr">
        <is>
          <t>经济运行</t>
        </is>
      </c>
      <c r="D8" s="5" t="inlineStr">
        <is>
          <t>物价水平</t>
        </is>
      </c>
      <c r="E8" s="5" t="inlineStr">
        <is>
          <t>CPI同比（%）</t>
        </is>
      </c>
      <c r="F8" s="5" t="inlineStr">
        <is>
          <t>月度</t>
        </is>
      </c>
      <c r="G8" s="5" t="inlineStr">
        <is>
          <t>核心计分</t>
        </is>
      </c>
      <c r="H8" s="5" t="inlineStr">
        <is>
          <t>保留用于结构拆分、边际验证或交叉核验；暂不重复进入状态总分</t>
        </is>
      </c>
      <c r="I8" s="5" t="n">
        <v>8</v>
      </c>
    </row>
    <row r="9" ht="42" customHeight="1">
      <c r="A9" s="4" t="n">
        <v>6</v>
      </c>
      <c r="B9" s="4" t="inlineStr">
        <is>
          <t>原稿</t>
        </is>
      </c>
      <c r="C9" s="4" t="inlineStr">
        <is>
          <t>经济运行</t>
        </is>
      </c>
      <c r="D9" s="4" t="inlineStr">
        <is>
          <t>物价水平</t>
        </is>
      </c>
      <c r="E9" s="4" t="inlineStr">
        <is>
          <t>CPI环比（%）</t>
        </is>
      </c>
      <c r="F9" s="4" t="inlineStr">
        <is>
          <t>月度</t>
        </is>
      </c>
      <c r="G9" s="4" t="inlineStr">
        <is>
          <t>辅助观察</t>
        </is>
      </c>
      <c r="H9" s="4" t="inlineStr">
        <is>
          <t>季节性较强，用来解释同比变化，不另计分</t>
        </is>
      </c>
      <c r="I9" s="4" t="n">
        <v>9</v>
      </c>
    </row>
    <row r="10" ht="42" customHeight="1">
      <c r="A10" s="5" t="n">
        <v>7</v>
      </c>
      <c r="B10" s="5" t="inlineStr">
        <is>
          <t>原稿</t>
        </is>
      </c>
      <c r="C10" s="5" t="inlineStr">
        <is>
          <t>经济运行</t>
        </is>
      </c>
      <c r="D10" s="5" t="inlineStr">
        <is>
          <t>物价水平</t>
        </is>
      </c>
      <c r="E10" s="5" t="inlineStr">
        <is>
          <t>核心CPI同比（%）</t>
        </is>
      </c>
      <c r="F10" s="5" t="inlineStr">
        <is>
          <t>月度</t>
        </is>
      </c>
      <c r="G10" s="5" t="inlineStr">
        <is>
          <t>核心计分</t>
        </is>
      </c>
      <c r="H10" s="5" t="inlineStr">
        <is>
          <t>保留用于结构拆分、边际验证或交叉核验；暂不重复进入状态总分</t>
        </is>
      </c>
      <c r="I10" s="5" t="n">
        <v>10</v>
      </c>
    </row>
    <row r="11" ht="42" customHeight="1">
      <c r="A11" s="4" t="n">
        <v>8</v>
      </c>
      <c r="B11" s="4" t="inlineStr">
        <is>
          <t>原稿</t>
        </is>
      </c>
      <c r="C11" s="4" t="inlineStr">
        <is>
          <t>经济运行</t>
        </is>
      </c>
      <c r="D11" s="4" t="inlineStr">
        <is>
          <t>物价水平</t>
        </is>
      </c>
      <c r="E11" s="4" t="inlineStr">
        <is>
          <t>PPI同比（%）</t>
        </is>
      </c>
      <c r="F11" s="4" t="inlineStr">
        <is>
          <t>月度</t>
        </is>
      </c>
      <c r="G11" s="4" t="inlineStr">
        <is>
          <t>核心计分</t>
        </is>
      </c>
      <c r="H11" s="4" t="inlineStr">
        <is>
          <t>保留用于结构拆分、边际验证或交叉核验；暂不重复进入状态总分</t>
        </is>
      </c>
      <c r="I11" s="4" t="n">
        <v>11</v>
      </c>
    </row>
    <row r="12" ht="42" customHeight="1">
      <c r="A12" s="5" t="n">
        <v>9</v>
      </c>
      <c r="B12" s="5" t="inlineStr">
        <is>
          <t>原稿</t>
        </is>
      </c>
      <c r="C12" s="5" t="inlineStr">
        <is>
          <t>经济运行</t>
        </is>
      </c>
      <c r="D12" s="5" t="inlineStr">
        <is>
          <t>物价水平</t>
        </is>
      </c>
      <c r="E12" s="5" t="inlineStr">
        <is>
          <t>PPI环比（%）</t>
        </is>
      </c>
      <c r="F12" s="5" t="inlineStr">
        <is>
          <t>月度</t>
        </is>
      </c>
      <c r="G12" s="5" t="inlineStr">
        <is>
          <t>辅助观察</t>
        </is>
      </c>
      <c r="H12" s="5" t="inlineStr">
        <is>
          <t>用于价格拐点，和PPI同比不重复计分</t>
        </is>
      </c>
      <c r="I12" s="5" t="n">
        <v>12</v>
      </c>
    </row>
    <row r="13" ht="42" customHeight="1">
      <c r="A13" s="4" t="n">
        <v>10</v>
      </c>
      <c r="B13" s="4" t="inlineStr">
        <is>
          <t>原稿</t>
        </is>
      </c>
      <c r="C13" s="4" t="inlineStr">
        <is>
          <t>经济运行</t>
        </is>
      </c>
      <c r="D13" s="4" t="inlineStr">
        <is>
          <t>国际收支</t>
        </is>
      </c>
      <c r="E13" s="4" t="inlineStr">
        <is>
          <t>外汇储备（亿美元）</t>
        </is>
      </c>
      <c r="F13" s="4" t="inlineStr">
        <is>
          <t>月度</t>
        </is>
      </c>
      <c r="G13" s="4" t="inlineStr">
        <is>
          <t>辅助观察</t>
        </is>
      </c>
      <c r="H13" s="4" t="inlineStr">
        <is>
          <t>绝对规模受估值影响，不宜按固定警戒线打分</t>
        </is>
      </c>
      <c r="I13" s="4" t="n">
        <v>13</v>
      </c>
    </row>
    <row r="14" ht="42" customHeight="1">
      <c r="A14" s="5" t="n">
        <v>11</v>
      </c>
      <c r="B14" s="5" t="inlineStr">
        <is>
          <t>原稿</t>
        </is>
      </c>
      <c r="C14" s="5" t="inlineStr">
        <is>
          <t>经济运行</t>
        </is>
      </c>
      <c r="D14" s="5" t="inlineStr">
        <is>
          <t>国际收支</t>
        </is>
      </c>
      <c r="E14" s="5" t="inlineStr">
        <is>
          <t>美元兑人民币汇率</t>
        </is>
      </c>
      <c r="F14" s="5" t="inlineStr">
        <is>
          <t>日度</t>
        </is>
      </c>
      <c r="G14" s="5" t="inlineStr">
        <is>
          <t>辅助观察</t>
        </is>
      </c>
      <c r="H14" s="5" t="inlineStr">
        <is>
          <t>汇率点位不能简单定义好坏，观察变动和波动</t>
        </is>
      </c>
      <c r="I14" s="5" t="n">
        <v>14</v>
      </c>
    </row>
    <row r="15" ht="42" customHeight="1">
      <c r="A15" s="4" t="n">
        <v>12</v>
      </c>
      <c r="B15" s="4" t="inlineStr">
        <is>
          <t>原稿</t>
        </is>
      </c>
      <c r="C15" s="4" t="inlineStr">
        <is>
          <t>经济运行</t>
        </is>
      </c>
      <c r="D15" s="4" t="inlineStr">
        <is>
          <t>国际收支</t>
        </is>
      </c>
      <c r="E15" s="4" t="inlineStr">
        <is>
          <t>CFETS人民币汇率指数</t>
        </is>
      </c>
      <c r="F15" s="4" t="inlineStr">
        <is>
          <t>周度</t>
        </is>
      </c>
      <c r="G15" s="4" t="inlineStr">
        <is>
          <t>辅助观察</t>
        </is>
      </c>
      <c r="H15" s="4" t="inlineStr">
        <is>
          <t>侧重稳定性与外部约束，原表无完整五档</t>
        </is>
      </c>
      <c r="I15" s="4" t="n">
        <v>15</v>
      </c>
    </row>
    <row r="16" ht="42" customHeight="1">
      <c r="A16" s="5" t="n">
        <v>13</v>
      </c>
      <c r="B16" s="5" t="inlineStr">
        <is>
          <t>原稿</t>
        </is>
      </c>
      <c r="C16" s="5" t="inlineStr">
        <is>
          <t>经济运行</t>
        </is>
      </c>
      <c r="D16" s="5" t="inlineStr">
        <is>
          <t>国际收支</t>
        </is>
      </c>
      <c r="E16" s="5" t="inlineStr">
        <is>
          <t>货物贸易顺差（亿美元）</t>
        </is>
      </c>
      <c r="F16" s="5" t="inlineStr">
        <is>
          <t>月度</t>
        </is>
      </c>
      <c r="G16" s="5" t="inlineStr">
        <is>
          <t>辅助观察</t>
        </is>
      </c>
      <c r="H16" s="5" t="inlineStr">
        <is>
          <t>绝对额受规模、季节性影响；与贸易差额重复</t>
        </is>
      </c>
      <c r="I16" s="5" t="n">
        <v>16</v>
      </c>
    </row>
    <row r="17" ht="42" customHeight="1">
      <c r="A17" s="4" t="n">
        <v>14</v>
      </c>
      <c r="B17" s="4" t="inlineStr">
        <is>
          <t>原稿</t>
        </is>
      </c>
      <c r="C17" s="4" t="inlineStr">
        <is>
          <t>经济运行</t>
        </is>
      </c>
      <c r="D17" s="4" t="inlineStr">
        <is>
          <t>国际收支</t>
        </is>
      </c>
      <c r="E17" s="4" t="inlineStr">
        <is>
          <t>服务贸易差额（亿美元）</t>
        </is>
      </c>
      <c r="F17" s="4" t="inlineStr">
        <is>
          <t>季度</t>
        </is>
      </c>
      <c r="G17" s="4" t="inlineStr">
        <is>
          <t>辅助观察</t>
        </is>
      </c>
      <c r="H17" s="4" t="inlineStr">
        <is>
          <t>绝对额和季节性影响较大，原表五档不全</t>
        </is>
      </c>
      <c r="I17" s="4" t="n">
        <v>17</v>
      </c>
    </row>
    <row r="18" ht="42" customHeight="1">
      <c r="A18" s="5" t="n">
        <v>15</v>
      </c>
      <c r="B18" s="5" t="inlineStr">
        <is>
          <t>原稿</t>
        </is>
      </c>
      <c r="C18" s="5" t="inlineStr">
        <is>
          <t>经济运行</t>
        </is>
      </c>
      <c r="D18" s="5" t="inlineStr">
        <is>
          <t>就业市场</t>
        </is>
      </c>
      <c r="E18" s="5" t="inlineStr">
        <is>
          <t>城镇调查失业率（%）</t>
        </is>
      </c>
      <c r="F18" s="5" t="inlineStr">
        <is>
          <t>月度</t>
        </is>
      </c>
      <c r="G18" s="5" t="inlineStr">
        <is>
          <t>核心计分</t>
        </is>
      </c>
      <c r="H18" s="5" t="inlineStr">
        <is>
          <t>保留用于结构拆分、边际验证或交叉核验；暂不重复进入状态总分</t>
        </is>
      </c>
      <c r="I18" s="5" t="n">
        <v>18</v>
      </c>
    </row>
    <row r="19" ht="42" customHeight="1">
      <c r="A19" s="4" t="n">
        <v>16</v>
      </c>
      <c r="B19" s="4" t="inlineStr">
        <is>
          <t>原稿</t>
        </is>
      </c>
      <c r="C19" s="4" t="inlineStr">
        <is>
          <t>经济运行</t>
        </is>
      </c>
      <c r="D19" s="4" t="inlineStr">
        <is>
          <t>景气指数</t>
        </is>
      </c>
      <c r="E19" s="4" t="inlineStr">
        <is>
          <t>制造业PMI（%）</t>
        </is>
      </c>
      <c r="F19" s="4" t="inlineStr">
        <is>
          <t>月度</t>
        </is>
      </c>
      <c r="G19" s="4" t="inlineStr">
        <is>
          <t>辅助观察</t>
        </is>
      </c>
      <c r="H19" s="4" t="inlineStr">
        <is>
          <t>保留作结构分解，综合PMI承担主要景气得分</t>
        </is>
      </c>
      <c r="I19" s="4" t="n">
        <v>19</v>
      </c>
    </row>
    <row r="20" ht="42" customHeight="1">
      <c r="A20" s="5" t="n">
        <v>17</v>
      </c>
      <c r="B20" s="5" t="inlineStr">
        <is>
          <t>原稿</t>
        </is>
      </c>
      <c r="C20" s="5" t="inlineStr">
        <is>
          <t>经济运行</t>
        </is>
      </c>
      <c r="D20" s="5" t="inlineStr">
        <is>
          <t>景气指数</t>
        </is>
      </c>
      <c r="E20" s="5" t="inlineStr">
        <is>
          <t>非制造业PMI（%）</t>
        </is>
      </c>
      <c r="F20" s="5" t="inlineStr">
        <is>
          <t>月度</t>
        </is>
      </c>
      <c r="G20" s="5" t="inlineStr">
        <is>
          <t>辅助观察</t>
        </is>
      </c>
      <c r="H20" s="5" t="inlineStr">
        <is>
          <t>保留作结构分解，综合PMI承担主要景气得分</t>
        </is>
      </c>
      <c r="I20" s="5" t="n">
        <v>20</v>
      </c>
    </row>
    <row r="21" ht="42" customHeight="1">
      <c r="A21" s="4" t="n">
        <v>18</v>
      </c>
      <c r="B21" s="4" t="inlineStr">
        <is>
          <t>原稿</t>
        </is>
      </c>
      <c r="C21" s="4" t="inlineStr">
        <is>
          <t>经济运行</t>
        </is>
      </c>
      <c r="D21" s="4" t="inlineStr">
        <is>
          <t>景气指数</t>
        </is>
      </c>
      <c r="E21" s="4" t="inlineStr">
        <is>
          <t>综合PMI产出指数</t>
        </is>
      </c>
      <c r="F21" s="4" t="inlineStr">
        <is>
          <t>月度</t>
        </is>
      </c>
      <c r="G21" s="4" t="inlineStr">
        <is>
          <t>核心计分</t>
        </is>
      </c>
      <c r="H21" s="4" t="inlineStr">
        <is>
          <t>保留用于结构拆分、边际验证或交叉核验；暂不重复进入状态总分</t>
        </is>
      </c>
      <c r="I21" s="4" t="n">
        <v>21</v>
      </c>
    </row>
    <row r="22" ht="42" customHeight="1">
      <c r="A22" s="5" t="n">
        <v>19</v>
      </c>
      <c r="B22" s="5" t="inlineStr">
        <is>
          <t>原稿</t>
        </is>
      </c>
      <c r="C22" s="5" t="inlineStr">
        <is>
          <t>经济运行</t>
        </is>
      </c>
      <c r="D22" s="5" t="inlineStr">
        <is>
          <t>景气指数</t>
        </is>
      </c>
      <c r="E22" s="5" t="inlineStr">
        <is>
          <t>BCI中国企业经营状况指数</t>
        </is>
      </c>
      <c r="F22" s="5" t="inlineStr">
        <is>
          <t>月度</t>
        </is>
      </c>
      <c r="G22" s="5" t="inlineStr">
        <is>
          <t>辅助观察</t>
        </is>
      </c>
      <c r="H22" s="5" t="inlineStr">
        <is>
          <t>非官方样本，辅助交叉核验，不作为主要评分</t>
        </is>
      </c>
      <c r="I22" s="5" t="n">
        <v>22</v>
      </c>
    </row>
    <row r="23" ht="42" customHeight="1">
      <c r="A23" s="4" t="n">
        <v>20</v>
      </c>
      <c r="B23" s="4" t="inlineStr">
        <is>
          <t>原稿</t>
        </is>
      </c>
      <c r="C23" s="4" t="inlineStr">
        <is>
          <t>经济运行</t>
        </is>
      </c>
      <c r="D23" s="4" t="inlineStr">
        <is>
          <t>景气指数</t>
        </is>
      </c>
      <c r="E23" s="4" t="inlineStr">
        <is>
          <t>消费者信心指数</t>
        </is>
      </c>
      <c r="F23" s="4" t="inlineStr">
        <is>
          <t>月度</t>
        </is>
      </c>
      <c r="G23" s="4" t="inlineStr">
        <is>
          <t>辅助观察</t>
        </is>
      </c>
      <c r="H23" s="4" t="inlineStr">
        <is>
          <t>保留用于结构拆分、边际验证或交叉核验；暂不重复进入状态总分</t>
        </is>
      </c>
      <c r="I23" s="4" t="n">
        <v>23</v>
      </c>
    </row>
    <row r="24" ht="42" customHeight="1">
      <c r="A24" s="5" t="n">
        <v>21</v>
      </c>
      <c r="B24" s="5" t="inlineStr">
        <is>
          <t>原稿</t>
        </is>
      </c>
      <c r="C24" s="5" t="inlineStr">
        <is>
          <t>增长动力</t>
        </is>
      </c>
      <c r="D24" s="5" t="inlineStr">
        <is>
          <t>工业生产</t>
        </is>
      </c>
      <c r="E24" s="5" t="inlineStr">
        <is>
          <t>规模以上工业增加值增速（%）</t>
        </is>
      </c>
      <c r="F24" s="5" t="inlineStr">
        <is>
          <t>月度</t>
        </is>
      </c>
      <c r="G24" s="5" t="inlineStr">
        <is>
          <t>核心计分</t>
        </is>
      </c>
      <c r="H24" s="5" t="inlineStr">
        <is>
          <t>保留用于结构拆分、边际验证或交叉核验；暂不重复进入状态总分</t>
        </is>
      </c>
      <c r="I24" s="5" t="n">
        <v>24</v>
      </c>
    </row>
    <row r="25" ht="42" customHeight="1">
      <c r="A25" s="4" t="n">
        <v>22</v>
      </c>
      <c r="B25" s="4" t="inlineStr">
        <is>
          <t>原稿</t>
        </is>
      </c>
      <c r="C25" s="4" t="inlineStr">
        <is>
          <t>增长动力</t>
        </is>
      </c>
      <c r="D25" s="4" t="inlineStr">
        <is>
          <t>工业生产</t>
        </is>
      </c>
      <c r="E25" s="4" t="inlineStr">
        <is>
          <t>工业企业利润总额增速（%）</t>
        </is>
      </c>
      <c r="F25" s="4" t="inlineStr">
        <is>
          <t>月度</t>
        </is>
      </c>
      <c r="G25" s="4" t="inlineStr">
        <is>
          <t>核心计分</t>
        </is>
      </c>
      <c r="H25" s="4" t="inlineStr">
        <is>
          <t>保留用于结构拆分、边际验证或交叉核验；暂不重复进入状态总分</t>
        </is>
      </c>
      <c r="I25" s="4" t="n">
        <v>25</v>
      </c>
    </row>
    <row r="26" ht="42" customHeight="1">
      <c r="A26" s="5" t="n">
        <v>23</v>
      </c>
      <c r="B26" s="5" t="inlineStr">
        <is>
          <t>原稿</t>
        </is>
      </c>
      <c r="C26" s="5" t="inlineStr">
        <is>
          <t>增长动力</t>
        </is>
      </c>
      <c r="D26" s="5" t="inlineStr">
        <is>
          <t>工业生产</t>
        </is>
      </c>
      <c r="E26" s="5" t="inlineStr">
        <is>
          <t>工业企业产能利用率（%）</t>
        </is>
      </c>
      <c r="F26" s="5" t="inlineStr">
        <is>
          <t>季度</t>
        </is>
      </c>
      <c r="G26" s="5" t="inlineStr">
        <is>
          <t>辅助观察</t>
        </is>
      </c>
      <c r="H26" s="5" t="inlineStr">
        <is>
          <t>保留用于结构拆分、边际验证或交叉核验；暂不重复进入状态总分</t>
        </is>
      </c>
      <c r="I26" s="5" t="n">
        <v>26</v>
      </c>
    </row>
    <row r="27" ht="42" customHeight="1">
      <c r="A27" s="4" t="n">
        <v>24</v>
      </c>
      <c r="B27" s="4" t="inlineStr">
        <is>
          <t>原稿</t>
        </is>
      </c>
      <c r="C27" s="4" t="inlineStr">
        <is>
          <t>增长动力</t>
        </is>
      </c>
      <c r="D27" s="4" t="inlineStr">
        <is>
          <t>工业生产</t>
        </is>
      </c>
      <c r="E27" s="4" t="inlineStr">
        <is>
          <t>发电量增速（%）</t>
        </is>
      </c>
      <c r="F27" s="4" t="inlineStr">
        <is>
          <t>月度</t>
        </is>
      </c>
      <c r="G27" s="4" t="inlineStr">
        <is>
          <t>辅助观察</t>
        </is>
      </c>
      <c r="H27" s="4" t="inlineStr">
        <is>
          <t>受天气及能源结构变化影响，辅助验证工业生产</t>
        </is>
      </c>
      <c r="I27" s="4" t="n">
        <v>27</v>
      </c>
    </row>
    <row r="28" ht="42" customHeight="1">
      <c r="A28" s="5" t="n">
        <v>25</v>
      </c>
      <c r="B28" s="5" t="inlineStr">
        <is>
          <t>原稿</t>
        </is>
      </c>
      <c r="C28" s="5" t="inlineStr">
        <is>
          <t>增长动力</t>
        </is>
      </c>
      <c r="D28" s="5" t="inlineStr">
        <is>
          <t>工业生产</t>
        </is>
      </c>
      <c r="E28" s="5" t="inlineStr">
        <is>
          <t>铁路货运量增速（%）</t>
        </is>
      </c>
      <c r="F28" s="5" t="inlineStr">
        <is>
          <t>月度</t>
        </is>
      </c>
      <c r="G28" s="5" t="inlineStr">
        <is>
          <t>辅助观察</t>
        </is>
      </c>
      <c r="H28" s="5" t="inlineStr">
        <is>
          <t>受运输结构变化影响，不单独等权计分</t>
        </is>
      </c>
      <c r="I28" s="5" t="n">
        <v>28</v>
      </c>
    </row>
    <row r="29" ht="42" customHeight="1">
      <c r="A29" s="4" t="n">
        <v>26</v>
      </c>
      <c r="B29" s="4" t="inlineStr">
        <is>
          <t>原稿</t>
        </is>
      </c>
      <c r="C29" s="4" t="inlineStr">
        <is>
          <t>增长动力</t>
        </is>
      </c>
      <c r="D29" s="4" t="inlineStr">
        <is>
          <t>房地产</t>
        </is>
      </c>
      <c r="E29" s="4" t="inlineStr">
        <is>
          <t>商品房销售面积增速（%）</t>
        </is>
      </c>
      <c r="F29" s="4" t="inlineStr">
        <is>
          <t>月度</t>
        </is>
      </c>
      <c r="G29" s="4" t="inlineStr">
        <is>
          <t>核心计分</t>
        </is>
      </c>
      <c r="H29" s="4" t="inlineStr">
        <is>
          <t>保留用于结构拆分、边际验证或交叉核验；暂不重复进入状态总分</t>
        </is>
      </c>
      <c r="I29" s="4" t="n">
        <v>29</v>
      </c>
    </row>
    <row r="30" ht="42" customHeight="1">
      <c r="A30" s="5" t="n">
        <v>27</v>
      </c>
      <c r="B30" s="5" t="inlineStr">
        <is>
          <t>原稿</t>
        </is>
      </c>
      <c r="C30" s="5" t="inlineStr">
        <is>
          <t>增长动力</t>
        </is>
      </c>
      <c r="D30" s="5" t="inlineStr">
        <is>
          <t>房地产</t>
        </is>
      </c>
      <c r="E30" s="5" t="inlineStr">
        <is>
          <t>商品房销售额增速（%）</t>
        </is>
      </c>
      <c r="F30" s="5" t="inlineStr">
        <is>
          <t>月度</t>
        </is>
      </c>
      <c r="G30" s="5" t="inlineStr">
        <is>
          <t>辅助观察</t>
        </is>
      </c>
      <c r="H30" s="5" t="inlineStr">
        <is>
          <t>与销售面积高度相关，辅助拆分量价</t>
        </is>
      </c>
      <c r="I30" s="5" t="n">
        <v>30</v>
      </c>
    </row>
    <row r="31" ht="42" customHeight="1">
      <c r="A31" s="4" t="n">
        <v>28</v>
      </c>
      <c r="B31" s="4" t="inlineStr">
        <is>
          <t>原稿</t>
        </is>
      </c>
      <c r="C31" s="4" t="inlineStr">
        <is>
          <t>增长动力</t>
        </is>
      </c>
      <c r="D31" s="4" t="inlineStr">
        <is>
          <t>房地产</t>
        </is>
      </c>
      <c r="E31" s="4" t="inlineStr">
        <is>
          <t>房屋新开工面积增速（%）</t>
        </is>
      </c>
      <c r="F31" s="4" t="inlineStr">
        <is>
          <t>月度</t>
        </is>
      </c>
      <c r="G31" s="4" t="inlineStr">
        <is>
          <t>核心计分</t>
        </is>
      </c>
      <c r="H31" s="4" t="inlineStr">
        <is>
          <t>保留用于结构拆分、边际验证或交叉核验；暂不重复进入状态总分</t>
        </is>
      </c>
      <c r="I31" s="4" t="n">
        <v>31</v>
      </c>
    </row>
    <row r="32" ht="42" customHeight="1">
      <c r="A32" s="5" t="n">
        <v>29</v>
      </c>
      <c r="B32" s="5" t="inlineStr">
        <is>
          <t>原稿</t>
        </is>
      </c>
      <c r="C32" s="5" t="inlineStr">
        <is>
          <t>增长动力</t>
        </is>
      </c>
      <c r="D32" s="5" t="inlineStr">
        <is>
          <t>房地产</t>
        </is>
      </c>
      <c r="E32" s="5" t="inlineStr">
        <is>
          <t>房屋竣工面积增速（%）</t>
        </is>
      </c>
      <c r="F32" s="5" t="inlineStr">
        <is>
          <t>月度</t>
        </is>
      </c>
      <c r="G32" s="5" t="inlineStr">
        <is>
          <t>辅助观察</t>
        </is>
      </c>
      <c r="H32" s="5" t="inlineStr">
        <is>
          <t>反映交付，与销售/新开工并列观察，不重复计分</t>
        </is>
      </c>
      <c r="I32" s="5" t="n">
        <v>32</v>
      </c>
    </row>
    <row r="33" ht="42" customHeight="1">
      <c r="A33" s="4" t="n">
        <v>30</v>
      </c>
      <c r="B33" s="4" t="inlineStr">
        <is>
          <t>原稿</t>
        </is>
      </c>
      <c r="C33" s="4" t="inlineStr">
        <is>
          <t>增长动力</t>
        </is>
      </c>
      <c r="D33" s="4" t="inlineStr">
        <is>
          <t>房地产</t>
        </is>
      </c>
      <c r="E33" s="4" t="inlineStr">
        <is>
          <t>房地产开发企业土地购置面积增速（%）</t>
        </is>
      </c>
      <c r="F33" s="4" t="inlineStr">
        <is>
          <t>月度</t>
        </is>
      </c>
      <c r="G33" s="4" t="inlineStr">
        <is>
          <t>辅助观察</t>
        </is>
      </c>
      <c r="H33" s="4" t="inlineStr">
        <is>
          <t>历史可比性与政策结构变化需核准</t>
        </is>
      </c>
      <c r="I33" s="4" t="n">
        <v>33</v>
      </c>
    </row>
    <row r="34" ht="42" customHeight="1">
      <c r="A34" s="5" t="n">
        <v>31</v>
      </c>
      <c r="B34" s="5" t="inlineStr">
        <is>
          <t>原稿</t>
        </is>
      </c>
      <c r="C34" s="5" t="inlineStr">
        <is>
          <t>增长动力</t>
        </is>
      </c>
      <c r="D34" s="5" t="inlineStr">
        <is>
          <t>房地产</t>
        </is>
      </c>
      <c r="E34" s="5" t="inlineStr">
        <is>
          <t>70个大中城市新建商品住宅价格指数（%）</t>
        </is>
      </c>
      <c r="F34" s="5" t="inlineStr">
        <is>
          <t>月度</t>
        </is>
      </c>
      <c r="G34" s="5" t="inlineStr">
        <is>
          <t>辅助观察</t>
        </is>
      </c>
      <c r="H34" s="5" t="inlineStr">
        <is>
          <t>必须先区分环比/同比及城市加权，不能共用一条阈值</t>
        </is>
      </c>
      <c r="I34" s="5" t="n">
        <v>34</v>
      </c>
    </row>
    <row r="35" ht="42" customHeight="1">
      <c r="A35" s="4" t="n">
        <v>32</v>
      </c>
      <c r="B35" s="4" t="inlineStr">
        <is>
          <t>原稿</t>
        </is>
      </c>
      <c r="C35" s="4" t="inlineStr">
        <is>
          <t>增长动力</t>
        </is>
      </c>
      <c r="D35" s="4" t="inlineStr">
        <is>
          <t>房地产</t>
        </is>
      </c>
      <c r="E35" s="4" t="inlineStr">
        <is>
          <t>国房景气指数</t>
        </is>
      </c>
      <c r="F35" s="4" t="inlineStr">
        <is>
          <t>月度</t>
        </is>
      </c>
      <c r="G35" s="4" t="inlineStr">
        <is>
          <t>辅助观察</t>
        </is>
      </c>
      <c r="H35" s="4" t="inlineStr">
        <is>
          <t>合成指标与地产分项重复，保留综合复核</t>
        </is>
      </c>
      <c r="I35" s="4" t="n">
        <v>35</v>
      </c>
    </row>
    <row r="36" ht="42" customHeight="1">
      <c r="A36" s="5" t="n">
        <v>33</v>
      </c>
      <c r="B36" s="5" t="inlineStr">
        <is>
          <t>原稿</t>
        </is>
      </c>
      <c r="C36" s="5" t="inlineStr">
        <is>
          <t>增长动力</t>
        </is>
      </c>
      <c r="D36" s="5" t="inlineStr">
        <is>
          <t>房地产</t>
        </is>
      </c>
      <c r="E36" s="5" t="inlineStr">
        <is>
          <t>房地产开发企业资金来源增速（%）</t>
        </is>
      </c>
      <c r="F36" s="5" t="inlineStr">
        <is>
          <t>月度</t>
        </is>
      </c>
      <c r="G36" s="5" t="inlineStr">
        <is>
          <t>核心计分</t>
        </is>
      </c>
      <c r="H36" s="5" t="inlineStr">
        <is>
          <t>保留用于结构拆分、边际验证或交叉核验；暂不重复进入状态总分</t>
        </is>
      </c>
      <c r="I36" s="5" t="n">
        <v>36</v>
      </c>
    </row>
    <row r="37" ht="42" customHeight="1">
      <c r="A37" s="4" t="n">
        <v>34</v>
      </c>
      <c r="B37" s="4" t="inlineStr">
        <is>
          <t>原稿</t>
        </is>
      </c>
      <c r="C37" s="4" t="inlineStr">
        <is>
          <t>增长动力</t>
        </is>
      </c>
      <c r="D37" s="4" t="inlineStr">
        <is>
          <t>投资</t>
        </is>
      </c>
      <c r="E37" s="4" t="inlineStr">
        <is>
          <t>固定资产投资（FAI）增速（%）</t>
        </is>
      </c>
      <c r="F37" s="4" t="inlineStr">
        <is>
          <t>月度</t>
        </is>
      </c>
      <c r="G37" s="4" t="inlineStr">
        <is>
          <t>核心计分</t>
        </is>
      </c>
      <c r="H37" s="4" t="inlineStr">
        <is>
          <t>保留用于结构拆分、边际验证或交叉核验；暂不重复进入状态总分</t>
        </is>
      </c>
      <c r="I37" s="4" t="n">
        <v>37</v>
      </c>
    </row>
    <row r="38" ht="42" customHeight="1">
      <c r="A38" s="5" t="n">
        <v>35</v>
      </c>
      <c r="B38" s="5" t="inlineStr">
        <is>
          <t>原稿</t>
        </is>
      </c>
      <c r="C38" s="5" t="inlineStr">
        <is>
          <t>增长动力</t>
        </is>
      </c>
      <c r="D38" s="5" t="inlineStr">
        <is>
          <t>投资</t>
        </is>
      </c>
      <c r="E38" s="5" t="inlineStr">
        <is>
          <t>基建投资增速（%）</t>
        </is>
      </c>
      <c r="F38" s="5" t="inlineStr">
        <is>
          <t>月度</t>
        </is>
      </c>
      <c r="G38" s="5" t="inlineStr">
        <is>
          <t>辅助观察</t>
        </is>
      </c>
      <c r="H38" s="5" t="inlineStr">
        <is>
          <t>观察财政传导，避免将政策支出直接当作内生需求</t>
        </is>
      </c>
      <c r="I38" s="5" t="n">
        <v>38</v>
      </c>
    </row>
    <row r="39" ht="42" customHeight="1">
      <c r="A39" s="4" t="n">
        <v>36</v>
      </c>
      <c r="B39" s="4" t="inlineStr">
        <is>
          <t>原稿</t>
        </is>
      </c>
      <c r="C39" s="4" t="inlineStr">
        <is>
          <t>增长动力</t>
        </is>
      </c>
      <c r="D39" s="4" t="inlineStr">
        <is>
          <t>投资</t>
        </is>
      </c>
      <c r="E39" s="4" t="inlineStr">
        <is>
          <t>制造业投资增速（%）</t>
        </is>
      </c>
      <c r="F39" s="4" t="inlineStr">
        <is>
          <t>月度</t>
        </is>
      </c>
      <c r="G39" s="4" t="inlineStr">
        <is>
          <t>核心计分</t>
        </is>
      </c>
      <c r="H39" s="4" t="inlineStr">
        <is>
          <t>保留用于结构拆分、边际验证或交叉核验；暂不重复进入状态总分</t>
        </is>
      </c>
      <c r="I39" s="4" t="n">
        <v>39</v>
      </c>
    </row>
    <row r="40" ht="42" customHeight="1">
      <c r="A40" s="5" t="n">
        <v>37</v>
      </c>
      <c r="B40" s="5" t="inlineStr">
        <is>
          <t>原稿</t>
        </is>
      </c>
      <c r="C40" s="5" t="inlineStr">
        <is>
          <t>增长动力</t>
        </is>
      </c>
      <c r="D40" s="5" t="inlineStr">
        <is>
          <t>投资</t>
        </is>
      </c>
      <c r="E40" s="5" t="inlineStr">
        <is>
          <t>房地产开发投资增速（%）</t>
        </is>
      </c>
      <c r="F40" s="5" t="inlineStr">
        <is>
          <t>月度</t>
        </is>
      </c>
      <c r="G40" s="5" t="inlineStr">
        <is>
          <t>辅助观察</t>
        </is>
      </c>
      <c r="H40" s="5" t="inlineStr">
        <is>
          <t>地产链已有销售、新开工和资金来源计分</t>
        </is>
      </c>
      <c r="I40" s="5" t="n">
        <v>40</v>
      </c>
    </row>
    <row r="41" ht="42" customHeight="1">
      <c r="A41" s="4" t="n">
        <v>38</v>
      </c>
      <c r="B41" s="4" t="inlineStr">
        <is>
          <t>原稿</t>
        </is>
      </c>
      <c r="C41" s="4" t="inlineStr">
        <is>
          <t>增长动力</t>
        </is>
      </c>
      <c r="D41" s="4" t="inlineStr">
        <is>
          <t>投资</t>
        </is>
      </c>
      <c r="E41" s="4" t="inlineStr">
        <is>
          <t>民间固定资产投资增速（%）</t>
        </is>
      </c>
      <c r="F41" s="4" t="inlineStr">
        <is>
          <t>月度</t>
        </is>
      </c>
      <c r="G41" s="4" t="inlineStr">
        <is>
          <t>核心计分</t>
        </is>
      </c>
      <c r="H41" s="4" t="inlineStr">
        <is>
          <t>保留用于结构拆分、边际验证或交叉核验；暂不重复进入状态总分</t>
        </is>
      </c>
      <c r="I41" s="4" t="n">
        <v>41</v>
      </c>
    </row>
    <row r="42" ht="42" customHeight="1">
      <c r="A42" s="5" t="n">
        <v>39</v>
      </c>
      <c r="B42" s="5" t="inlineStr">
        <is>
          <t>原稿</t>
        </is>
      </c>
      <c r="C42" s="5" t="inlineStr">
        <is>
          <t>增长动力</t>
        </is>
      </c>
      <c r="D42" s="5" t="inlineStr">
        <is>
          <t>投资</t>
        </is>
      </c>
      <c r="E42" s="5" t="inlineStr">
        <is>
          <t>高技术产业投资增速（%）</t>
        </is>
      </c>
      <c r="F42" s="5" t="inlineStr">
        <is>
          <t>月度</t>
        </is>
      </c>
      <c r="G42" s="5" t="inlineStr">
        <is>
          <t>辅助观察</t>
        </is>
      </c>
      <c r="H42" s="5" t="inlineStr">
        <is>
          <t>结构性方向重要，但不宜用高增速机械推高总量评级</t>
        </is>
      </c>
      <c r="I42" s="5" t="n">
        <v>42</v>
      </c>
    </row>
    <row r="43" ht="42" customHeight="1">
      <c r="A43" s="4" t="n">
        <v>40</v>
      </c>
      <c r="B43" s="4" t="inlineStr">
        <is>
          <t>原稿</t>
        </is>
      </c>
      <c r="C43" s="4" t="inlineStr">
        <is>
          <t>增长动力</t>
        </is>
      </c>
      <c r="D43" s="4" t="inlineStr">
        <is>
          <t>消费</t>
        </is>
      </c>
      <c r="E43" s="4" t="inlineStr">
        <is>
          <t>社会消费品零售总额增速（%）</t>
        </is>
      </c>
      <c r="F43" s="4" t="inlineStr">
        <is>
          <t>月度</t>
        </is>
      </c>
      <c r="G43" s="4" t="inlineStr">
        <is>
          <t>核心计分</t>
        </is>
      </c>
      <c r="H43" s="4" t="inlineStr">
        <is>
          <t>保留用于结构拆分、边际验证或交叉核验；暂不重复进入状态总分</t>
        </is>
      </c>
      <c r="I43" s="4" t="n">
        <v>43</v>
      </c>
    </row>
    <row r="44" ht="42" customHeight="1">
      <c r="A44" s="5" t="n">
        <v>41</v>
      </c>
      <c r="B44" s="5" t="inlineStr">
        <is>
          <t>原稿</t>
        </is>
      </c>
      <c r="C44" s="5" t="inlineStr">
        <is>
          <t>增长动力</t>
        </is>
      </c>
      <c r="D44" s="5" t="inlineStr">
        <is>
          <t>进出口</t>
        </is>
      </c>
      <c r="E44" s="5" t="inlineStr">
        <is>
          <t>出口金额增速（美元计，%）</t>
        </is>
      </c>
      <c r="F44" s="5" t="inlineStr">
        <is>
          <t>月度</t>
        </is>
      </c>
      <c r="G44" s="5" t="inlineStr">
        <is>
          <t>核心计分</t>
        </is>
      </c>
      <c r="H44" s="5" t="inlineStr">
        <is>
          <t>保留用于结构拆分、边际验证或交叉核验；暂不重复进入状态总分</t>
        </is>
      </c>
      <c r="I44" s="5" t="n">
        <v>44</v>
      </c>
    </row>
    <row r="45" ht="42" customHeight="1">
      <c r="A45" s="4" t="n">
        <v>42</v>
      </c>
      <c r="B45" s="4" t="inlineStr">
        <is>
          <t>原稿</t>
        </is>
      </c>
      <c r="C45" s="4" t="inlineStr">
        <is>
          <t>增长动力</t>
        </is>
      </c>
      <c r="D45" s="4" t="inlineStr">
        <is>
          <t>进出口</t>
        </is>
      </c>
      <c r="E45" s="4" t="inlineStr">
        <is>
          <t>进口金额增速（美元计，%）</t>
        </is>
      </c>
      <c r="F45" s="4" t="inlineStr">
        <is>
          <t>月度</t>
        </is>
      </c>
      <c r="G45" s="4" t="inlineStr">
        <is>
          <t>辅助观察</t>
        </is>
      </c>
      <c r="H45" s="4" t="inlineStr">
        <is>
          <t>受价格和汇率影响较大，辅助需求验证</t>
        </is>
      </c>
      <c r="I45" s="4" t="n">
        <v>45</v>
      </c>
    </row>
    <row r="46" ht="42" customHeight="1">
      <c r="A46" s="5" t="n">
        <v>43</v>
      </c>
      <c r="B46" s="5" t="inlineStr">
        <is>
          <t>原稿</t>
        </is>
      </c>
      <c r="C46" s="5" t="inlineStr">
        <is>
          <t>增长动力</t>
        </is>
      </c>
      <c r="D46" s="5" t="inlineStr">
        <is>
          <t>进出口</t>
        </is>
      </c>
      <c r="E46" s="5" t="inlineStr">
        <is>
          <t>贸易差额（亿美元）</t>
        </is>
      </c>
      <c r="F46" s="5" t="inlineStr">
        <is>
          <t>月度</t>
        </is>
      </c>
      <c r="G46" s="5" t="inlineStr">
        <is>
          <t>辅助观察</t>
        </is>
      </c>
      <c r="H46" s="5" t="inlineStr">
        <is>
          <t>和货物贸易顺差重复，不双计</t>
        </is>
      </c>
      <c r="I46" s="5" t="n">
        <v>46</v>
      </c>
    </row>
    <row r="47" ht="42" customHeight="1">
      <c r="A47" s="4" t="n">
        <v>44</v>
      </c>
      <c r="B47" s="4" t="inlineStr">
        <is>
          <t>原稿</t>
        </is>
      </c>
      <c r="C47" s="4" t="inlineStr">
        <is>
          <t>增长动力</t>
        </is>
      </c>
      <c r="D47" s="4" t="inlineStr">
        <is>
          <t>进出口</t>
        </is>
      </c>
      <c r="E47" s="4" t="inlineStr">
        <is>
          <t>出口集装箱运价指数（CCFI）</t>
        </is>
      </c>
      <c r="F47" s="4" t="inlineStr">
        <is>
          <t>周度</t>
        </is>
      </c>
      <c r="G47" s="4" t="inlineStr">
        <is>
          <t>辅助观察</t>
        </is>
      </c>
      <c r="H47" s="4" t="inlineStr">
        <is>
          <t>运价受供给扰动影响，原表五档不完整</t>
        </is>
      </c>
      <c r="I47" s="4" t="n">
        <v>47</v>
      </c>
    </row>
    <row r="48" ht="42" customHeight="1">
      <c r="A48" s="5" t="n">
        <v>45</v>
      </c>
      <c r="B48" s="5" t="inlineStr">
        <is>
          <t>原稿</t>
        </is>
      </c>
      <c r="C48" s="5" t="inlineStr">
        <is>
          <t>金融信贷</t>
        </is>
      </c>
      <c r="D48" s="5" t="inlineStr">
        <is>
          <t>信贷结构</t>
        </is>
      </c>
      <c r="E48" s="5" t="inlineStr">
        <is>
          <t>居民户短期贷款增量（亿元）</t>
        </is>
      </c>
      <c r="F48" s="5" t="inlineStr">
        <is>
          <t>月度</t>
        </is>
      </c>
      <c r="G48" s="5" t="inlineStr">
        <is>
          <t>辅助观察</t>
        </is>
      </c>
      <c r="H48" s="5" t="inlineStr">
        <is>
          <t>信贷月度扰动大且可受消费贷政策影响，辅助观察</t>
        </is>
      </c>
      <c r="I48" s="5" t="n">
        <v>48</v>
      </c>
    </row>
    <row r="49" ht="42" customHeight="1">
      <c r="A49" s="4" t="n">
        <v>46</v>
      </c>
      <c r="B49" s="4" t="inlineStr">
        <is>
          <t>原稿</t>
        </is>
      </c>
      <c r="C49" s="4" t="inlineStr">
        <is>
          <t>金融信贷</t>
        </is>
      </c>
      <c r="D49" s="4" t="inlineStr">
        <is>
          <t>信贷结构</t>
        </is>
      </c>
      <c r="E49" s="4" t="inlineStr">
        <is>
          <t>居民户中长期贷款增量（亿元）</t>
        </is>
      </c>
      <c r="F49" s="4" t="inlineStr">
        <is>
          <t>月度</t>
        </is>
      </c>
      <c r="G49" s="4" t="inlineStr">
        <is>
          <t>核心原料：派生近3月同比多增</t>
        </is>
      </c>
      <c r="H49" s="4" t="inlineStr">
        <is>
          <t>保留用于结构拆分、边际验证或交叉核验；暂不重复进入状态总分</t>
        </is>
      </c>
      <c r="I49" s="4" t="n">
        <v>49</v>
      </c>
    </row>
    <row r="50" ht="42" customHeight="1">
      <c r="A50" s="5" t="n">
        <v>47</v>
      </c>
      <c r="B50" s="5" t="inlineStr">
        <is>
          <t>原稿</t>
        </is>
      </c>
      <c r="C50" s="5" t="inlineStr">
        <is>
          <t>金融信贷</t>
        </is>
      </c>
      <c r="D50" s="5" t="inlineStr">
        <is>
          <t>信贷结构</t>
        </is>
      </c>
      <c r="E50" s="5" t="inlineStr">
        <is>
          <t>非金融企业短期贷款增量（亿元）</t>
        </is>
      </c>
      <c r="F50" s="5" t="inlineStr">
        <is>
          <t>月度</t>
        </is>
      </c>
      <c r="G50" s="5" t="inlineStr">
        <is>
          <t>辅助观察</t>
        </is>
      </c>
      <c r="H50" s="5" t="inlineStr">
        <is>
          <t>短贷可能替代票据/长贷，辅助观察结构</t>
        </is>
      </c>
      <c r="I50" s="5" t="n">
        <v>50</v>
      </c>
    </row>
    <row r="51" ht="42" customHeight="1">
      <c r="A51" s="4" t="n">
        <v>48</v>
      </c>
      <c r="B51" s="4" t="inlineStr">
        <is>
          <t>原稿</t>
        </is>
      </c>
      <c r="C51" s="4" t="inlineStr">
        <is>
          <t>金融信贷</t>
        </is>
      </c>
      <c r="D51" s="4" t="inlineStr">
        <is>
          <t>信贷结构</t>
        </is>
      </c>
      <c r="E51" s="4" t="inlineStr">
        <is>
          <t>非金融企业中长期贷款增量（亿元）</t>
        </is>
      </c>
      <c r="F51" s="4" t="inlineStr">
        <is>
          <t>月度</t>
        </is>
      </c>
      <c r="G51" s="4" t="inlineStr">
        <is>
          <t>核心原料：派生近3月同比多增</t>
        </is>
      </c>
      <c r="H51" s="4" t="inlineStr">
        <is>
          <t>保留用于结构拆分、边际验证或交叉核验；暂不重复进入状态总分</t>
        </is>
      </c>
      <c r="I51" s="4" t="n">
        <v>51</v>
      </c>
    </row>
    <row r="52" ht="42" customHeight="1">
      <c r="A52" s="5" t="n">
        <v>49</v>
      </c>
      <c r="B52" s="5" t="inlineStr">
        <is>
          <t>原稿</t>
        </is>
      </c>
      <c r="C52" s="5" t="inlineStr">
        <is>
          <t>金融信贷</t>
        </is>
      </c>
      <c r="D52" s="5" t="inlineStr">
        <is>
          <t>信贷结构</t>
        </is>
      </c>
      <c r="E52" s="5" t="inlineStr">
        <is>
          <t>社融规模存量增速（%）</t>
        </is>
      </c>
      <c r="F52" s="5" t="inlineStr">
        <is>
          <t>月度</t>
        </is>
      </c>
      <c r="G52" s="5" t="inlineStr">
        <is>
          <t>核心计分</t>
        </is>
      </c>
      <c r="H52" s="5" t="inlineStr">
        <is>
          <t>保留用于结构拆分、边际验证或交叉核验；暂不重复进入状态总分</t>
        </is>
      </c>
      <c r="I52" s="5" t="n">
        <v>52</v>
      </c>
    </row>
    <row r="53" ht="42" customHeight="1">
      <c r="A53" s="4" t="n">
        <v>50</v>
      </c>
      <c r="B53" s="4" t="inlineStr">
        <is>
          <t>原稿</t>
        </is>
      </c>
      <c r="C53" s="4" t="inlineStr">
        <is>
          <t>金融信贷</t>
        </is>
      </c>
      <c r="D53" s="4" t="inlineStr">
        <is>
          <t>信贷结构</t>
        </is>
      </c>
      <c r="E53" s="4" t="inlineStr">
        <is>
          <t>人民币贷款存量增速（%）</t>
        </is>
      </c>
      <c r="F53" s="4" t="inlineStr">
        <is>
          <t>月度</t>
        </is>
      </c>
      <c r="G53" s="4" t="inlineStr">
        <is>
          <t>核心计分</t>
        </is>
      </c>
      <c r="H53" s="4" t="inlineStr">
        <is>
          <t>保留用于结构拆分、边际验证或交叉核验；暂不重复进入状态总分</t>
        </is>
      </c>
      <c r="I53" s="4" t="n">
        <v>53</v>
      </c>
    </row>
    <row r="54" ht="42" customHeight="1">
      <c r="A54" s="5" t="n">
        <v>51</v>
      </c>
      <c r="B54" s="5" t="inlineStr">
        <is>
          <t>原稿</t>
        </is>
      </c>
      <c r="C54" s="5" t="inlineStr">
        <is>
          <t>金融信贷</t>
        </is>
      </c>
      <c r="D54" s="5" t="inlineStr">
        <is>
          <t>信贷结构</t>
        </is>
      </c>
      <c r="E54" s="5" t="inlineStr">
        <is>
          <t>M0增速（%）</t>
        </is>
      </c>
      <c r="F54" s="5" t="inlineStr">
        <is>
          <t>月度</t>
        </is>
      </c>
      <c r="G54" s="5" t="inlineStr">
        <is>
          <t>辅助观察</t>
        </is>
      </c>
      <c r="H54" s="5" t="inlineStr">
        <is>
          <t>现金需求受支付方式与春节错位影响，不单独计分</t>
        </is>
      </c>
      <c r="I54" s="5" t="n">
        <v>54</v>
      </c>
    </row>
    <row r="55" ht="42" customHeight="1">
      <c r="A55" s="4" t="n">
        <v>52</v>
      </c>
      <c r="B55" s="4" t="inlineStr">
        <is>
          <t>原稿</t>
        </is>
      </c>
      <c r="C55" s="4" t="inlineStr">
        <is>
          <t>金融信贷</t>
        </is>
      </c>
      <c r="D55" s="4" t="inlineStr">
        <is>
          <t>信贷结构</t>
        </is>
      </c>
      <c r="E55" s="4" t="inlineStr">
        <is>
          <t>M1增速（%）</t>
        </is>
      </c>
      <c r="F55" s="4" t="inlineStr">
        <is>
          <t>月度</t>
        </is>
      </c>
      <c r="G55" s="4" t="inlineStr">
        <is>
          <t>辅助观察</t>
        </is>
      </c>
      <c r="H55" s="4" t="inlineStr">
        <is>
          <t>用于分析资金活化；避免与剪刀差重复计分，注意2025口径调整</t>
        </is>
      </c>
      <c r="I55" s="4" t="n">
        <v>55</v>
      </c>
    </row>
    <row r="56" ht="42" customHeight="1">
      <c r="A56" s="5" t="n">
        <v>53</v>
      </c>
      <c r="B56" s="5" t="inlineStr">
        <is>
          <t>原稿</t>
        </is>
      </c>
      <c r="C56" s="5" t="inlineStr">
        <is>
          <t>金融信贷</t>
        </is>
      </c>
      <c r="D56" s="5" t="inlineStr">
        <is>
          <t>信贷结构</t>
        </is>
      </c>
      <c r="E56" s="5" t="inlineStr">
        <is>
          <t>M2增速（%）</t>
        </is>
      </c>
      <c r="F56" s="5" t="inlineStr">
        <is>
          <t>月度</t>
        </is>
      </c>
      <c r="G56" s="5" t="inlineStr">
        <is>
          <t>辅助观察</t>
        </is>
      </c>
      <c r="H56" s="5" t="inlineStr">
        <is>
          <t>不能把越快视为越健康；和M1剪刀差联动观察</t>
        </is>
      </c>
      <c r="I56" s="5" t="n">
        <v>56</v>
      </c>
    </row>
    <row r="57" ht="42" customHeight="1">
      <c r="A57" s="4" t="n">
        <v>54</v>
      </c>
      <c r="B57" s="4" t="inlineStr">
        <is>
          <t>原稿</t>
        </is>
      </c>
      <c r="C57" s="4" t="inlineStr">
        <is>
          <t>金融信贷</t>
        </is>
      </c>
      <c r="D57" s="4" t="inlineStr">
        <is>
          <t>信贷结构</t>
        </is>
      </c>
      <c r="E57" s="4" t="inlineStr">
        <is>
          <t>M1-M2剪刀差</t>
        </is>
      </c>
      <c r="F57" s="4" t="inlineStr">
        <is>
          <t>月度</t>
        </is>
      </c>
      <c r="G57" s="4" t="inlineStr">
        <is>
          <t>核心计分</t>
        </is>
      </c>
      <c r="H57" s="4" t="inlineStr">
        <is>
          <t>保留用于结构拆分、边际验证或交叉核验；暂不重复进入状态总分</t>
        </is>
      </c>
      <c r="I57" s="4" t="n">
        <v>57</v>
      </c>
    </row>
    <row r="58" ht="42" customHeight="1">
      <c r="A58" s="5" t="n">
        <v>55</v>
      </c>
      <c r="B58" s="5" t="inlineStr">
        <is>
          <t>原稿</t>
        </is>
      </c>
      <c r="C58" s="5" t="inlineStr">
        <is>
          <t>宏观调控</t>
        </is>
      </c>
      <c r="D58" s="5" t="inlineStr">
        <is>
          <t>产业政策</t>
        </is>
      </c>
      <c r="E58" s="5" t="inlineStr">
        <is>
          <t>资本市场核心会议跟踪.xlsx</t>
        </is>
      </c>
      <c r="F58" s="5" t="n"/>
      <c r="G58" s="5" t="inlineStr">
        <is>
          <t>政策证据项（不直接计分）</t>
        </is>
      </c>
      <c r="H58" s="5" t="inlineStr">
        <is>
          <t>政策立场/市场利率并不等于经济状态改善；独立记录动作和传导。原稿名称“政策制度”统一为“宏观调控”</t>
        </is>
      </c>
      <c r="I58" s="5" t="n">
        <v>58</v>
      </c>
    </row>
    <row r="59" ht="42" customHeight="1">
      <c r="A59" s="4" t="n">
        <v>56</v>
      </c>
      <c r="B59" s="4" t="inlineStr">
        <is>
          <t>原稿</t>
        </is>
      </c>
      <c r="C59" s="4" t="inlineStr">
        <is>
          <t>宏观调控</t>
        </is>
      </c>
      <c r="D59" s="4" t="inlineStr">
        <is>
          <t>财政政策</t>
        </is>
      </c>
      <c r="E59" s="4" t="inlineStr">
        <is>
          <t>财政赤字率（%）</t>
        </is>
      </c>
      <c r="F59" s="4" t="inlineStr">
        <is>
          <t>年度</t>
        </is>
      </c>
      <c r="G59" s="4" t="inlineStr">
        <is>
          <t>政策证据项（不直接计分）</t>
        </is>
      </c>
      <c r="H59" s="4" t="inlineStr">
        <is>
          <t>政策立场/市场利率并不等于经济状态改善；独立记录动作和传导。原稿名称“政策制度”统一为“宏观调控”</t>
        </is>
      </c>
      <c r="I59" s="4" t="n">
        <v>59</v>
      </c>
    </row>
    <row r="60" ht="42" customHeight="1">
      <c r="A60" s="5" t="n">
        <v>57</v>
      </c>
      <c r="B60" s="5" t="inlineStr">
        <is>
          <t>原稿</t>
        </is>
      </c>
      <c r="C60" s="5" t="inlineStr">
        <is>
          <t>宏观调控</t>
        </is>
      </c>
      <c r="D60" s="5" t="inlineStr">
        <is>
          <t>财政政策</t>
        </is>
      </c>
      <c r="E60" s="5" t="inlineStr">
        <is>
          <t>全国公共财政收入增速（%）</t>
        </is>
      </c>
      <c r="F60" s="5" t="inlineStr">
        <is>
          <t>月度</t>
        </is>
      </c>
      <c r="G60" s="5" t="inlineStr">
        <is>
          <t>政策证据项（不直接计分）</t>
        </is>
      </c>
      <c r="H60" s="5" t="inlineStr">
        <is>
          <t>政策立场/市场利率并不等于经济状态改善；独立记录动作和传导。原稿名称“政策制度”统一为“宏观调控”</t>
        </is>
      </c>
      <c r="I60" s="5" t="n">
        <v>60</v>
      </c>
    </row>
    <row r="61" ht="42" customHeight="1">
      <c r="A61" s="4" t="n">
        <v>58</v>
      </c>
      <c r="B61" s="4" t="inlineStr">
        <is>
          <t>原稿</t>
        </is>
      </c>
      <c r="C61" s="4" t="inlineStr">
        <is>
          <t>宏观调控</t>
        </is>
      </c>
      <c r="D61" s="4" t="inlineStr">
        <is>
          <t>财政政策</t>
        </is>
      </c>
      <c r="E61" s="4" t="inlineStr">
        <is>
          <t>全国公共财政支出增速（%）</t>
        </is>
      </c>
      <c r="F61" s="4" t="inlineStr">
        <is>
          <t>月度</t>
        </is>
      </c>
      <c r="G61" s="4" t="inlineStr">
        <is>
          <t>政策证据项（不直接计分）</t>
        </is>
      </c>
      <c r="H61" s="4" t="inlineStr">
        <is>
          <t>政策立场/市场利率并不等于经济状态改善；独立记录动作和传导。原稿名称“政策制度”统一为“宏观调控”</t>
        </is>
      </c>
      <c r="I61" s="4" t="n">
        <v>61</v>
      </c>
    </row>
    <row r="62" ht="42" customHeight="1">
      <c r="A62" s="5" t="n">
        <v>59</v>
      </c>
      <c r="B62" s="5" t="inlineStr">
        <is>
          <t>原稿</t>
        </is>
      </c>
      <c r="C62" s="5" t="inlineStr">
        <is>
          <t>宏观调控</t>
        </is>
      </c>
      <c r="D62" s="5" t="inlineStr">
        <is>
          <t>货币政策</t>
        </is>
      </c>
      <c r="E62" s="5" t="inlineStr">
        <is>
          <t>1年期MLF利率（%）</t>
        </is>
      </c>
      <c r="F62" s="5" t="inlineStr">
        <is>
          <t>不定期</t>
        </is>
      </c>
      <c r="G62" s="5" t="inlineStr">
        <is>
          <t>政策证据项（不直接计分）</t>
        </is>
      </c>
      <c r="H62" s="5" t="inlineStr">
        <is>
          <t>政策立场/市场利率并不等于经济状态改善；独立记录动作和传导。原稿名称“政策制度”统一为“宏观调控”</t>
        </is>
      </c>
      <c r="I62" s="5" t="n">
        <v>62</v>
      </c>
    </row>
    <row r="63" ht="42" customHeight="1">
      <c r="A63" s="4" t="n">
        <v>60</v>
      </c>
      <c r="B63" s="4" t="inlineStr">
        <is>
          <t>原稿</t>
        </is>
      </c>
      <c r="C63" s="4" t="inlineStr">
        <is>
          <t>宏观调控</t>
        </is>
      </c>
      <c r="D63" s="4" t="inlineStr">
        <is>
          <t>货币政策</t>
        </is>
      </c>
      <c r="E63" s="4" t="inlineStr">
        <is>
          <t>1年期LPR（%）</t>
        </is>
      </c>
      <c r="F63" s="4" t="inlineStr">
        <is>
          <t>月度</t>
        </is>
      </c>
      <c r="G63" s="4" t="inlineStr">
        <is>
          <t>政策证据项（不直接计分）</t>
        </is>
      </c>
      <c r="H63" s="4" t="inlineStr">
        <is>
          <t>政策立场/市场利率并不等于经济状态改善；独立记录动作和传导。原稿名称“政策制度”统一为“宏观调控”</t>
        </is>
      </c>
      <c r="I63" s="4" t="n">
        <v>63</v>
      </c>
    </row>
    <row r="64" ht="42" customHeight="1">
      <c r="A64" s="5" t="n">
        <v>61</v>
      </c>
      <c r="B64" s="5" t="inlineStr">
        <is>
          <t>原稿</t>
        </is>
      </c>
      <c r="C64" s="5" t="inlineStr">
        <is>
          <t>宏观调控</t>
        </is>
      </c>
      <c r="D64" s="5" t="inlineStr">
        <is>
          <t>货币政策</t>
        </is>
      </c>
      <c r="E64" s="5" t="inlineStr">
        <is>
          <t>5年期以上LPR（%）</t>
        </is>
      </c>
      <c r="F64" s="5" t="inlineStr">
        <is>
          <t>月度</t>
        </is>
      </c>
      <c r="G64" s="5" t="inlineStr">
        <is>
          <t>政策证据项（不直接计分）</t>
        </is>
      </c>
      <c r="H64" s="5" t="inlineStr">
        <is>
          <t>政策立场/市场利率并不等于经济状态改善；独立记录动作和传导。原稿名称“政策制度”统一为“宏观调控”</t>
        </is>
      </c>
      <c r="I64" s="5" t="n">
        <v>64</v>
      </c>
    </row>
    <row r="65" ht="42" customHeight="1">
      <c r="A65" s="4" t="n">
        <v>62</v>
      </c>
      <c r="B65" s="4" t="inlineStr">
        <is>
          <t>原稿</t>
        </is>
      </c>
      <c r="C65" s="4" t="inlineStr">
        <is>
          <t>宏观调控</t>
        </is>
      </c>
      <c r="D65" s="4" t="inlineStr">
        <is>
          <t>货币政策</t>
        </is>
      </c>
      <c r="E65" s="4" t="inlineStr">
        <is>
          <t>DR007（%）</t>
        </is>
      </c>
      <c r="F65" s="4" t="inlineStr">
        <is>
          <t>日度</t>
        </is>
      </c>
      <c r="G65" s="4" t="inlineStr">
        <is>
          <t>政策证据项（不直接计分）</t>
        </is>
      </c>
      <c r="H65" s="4" t="inlineStr">
        <is>
          <t>政策立场/市场利率并不等于经济状态改善；独立记录动作和传导。原稿名称“政策制度”统一为“宏观调控”</t>
        </is>
      </c>
      <c r="I65" s="4" t="n">
        <v>65</v>
      </c>
    </row>
    <row r="66" ht="42" customHeight="1">
      <c r="A66" s="5" t="n">
        <v>63</v>
      </c>
      <c r="B66" s="5" t="inlineStr">
        <is>
          <t>原稿</t>
        </is>
      </c>
      <c r="C66" s="5" t="inlineStr">
        <is>
          <t>宏观调控</t>
        </is>
      </c>
      <c r="D66" s="5" t="inlineStr">
        <is>
          <t>货币政策</t>
        </is>
      </c>
      <c r="E66" s="5" t="inlineStr">
        <is>
          <t>R007（%）</t>
        </is>
      </c>
      <c r="F66" s="5" t="inlineStr">
        <is>
          <t>日度</t>
        </is>
      </c>
      <c r="G66" s="5" t="inlineStr">
        <is>
          <t>政策证据项（不直接计分）</t>
        </is>
      </c>
      <c r="H66" s="5" t="inlineStr">
        <is>
          <t>政策立场/市场利率并不等于经济状态改善；独立记录动作和传导。原稿名称“政策制度”统一为“宏观调控”</t>
        </is>
      </c>
      <c r="I66" s="5" t="n">
        <v>66</v>
      </c>
    </row>
    <row r="67" ht="42" customHeight="1">
      <c r="A67" s="4" t="n">
        <v>64</v>
      </c>
      <c r="B67" s="4" t="inlineStr">
        <is>
          <t>原稿</t>
        </is>
      </c>
      <c r="C67" s="4" t="inlineStr">
        <is>
          <t>宏观调控</t>
        </is>
      </c>
      <c r="D67" s="4" t="inlineStr">
        <is>
          <t>货币政策</t>
        </is>
      </c>
      <c r="E67" s="4" t="inlineStr">
        <is>
          <t>10年期国债收益率（%）</t>
        </is>
      </c>
      <c r="F67" s="4" t="inlineStr">
        <is>
          <t>日度</t>
        </is>
      </c>
      <c r="G67" s="4" t="inlineStr">
        <is>
          <t>政策证据项（不直接计分）</t>
        </is>
      </c>
      <c r="H67" s="4" t="inlineStr">
        <is>
          <t>政策立场/市场利率并不等于经济状态改善；独立记录动作和传导。原稿名称“政策制度”统一为“宏观调控”</t>
        </is>
      </c>
      <c r="I67" s="4" t="n">
        <v>67</v>
      </c>
    </row>
    <row r="68" ht="42" customHeight="1">
      <c r="A68" s="5" t="n">
        <v>65</v>
      </c>
      <c r="B68" s="5" t="inlineStr">
        <is>
          <t>原稿</t>
        </is>
      </c>
      <c r="C68" s="5" t="inlineStr">
        <is>
          <t>宏观调控</t>
        </is>
      </c>
      <c r="D68" s="5" t="inlineStr">
        <is>
          <t>货币政策</t>
        </is>
      </c>
      <c r="E68" s="5" t="inlineStr">
        <is>
          <t>1年期国债收益率（%）</t>
        </is>
      </c>
      <c r="F68" s="5" t="inlineStr">
        <is>
          <t>日度</t>
        </is>
      </c>
      <c r="G68" s="5" t="inlineStr">
        <is>
          <t>政策证据项（不直接计分）</t>
        </is>
      </c>
      <c r="H68" s="5" t="inlineStr">
        <is>
          <t>政策立场/市场利率并不等于经济状态改善；独立记录动作和传导。原稿名称“政策制度”统一为“宏观调控”</t>
        </is>
      </c>
      <c r="I68" s="5" t="n">
        <v>68</v>
      </c>
    </row>
    <row r="69" ht="42" customHeight="1">
      <c r="A69" s="4" t="n">
        <v>66</v>
      </c>
      <c r="B69" s="4" t="inlineStr">
        <is>
          <t>原稿</t>
        </is>
      </c>
      <c r="C69" s="4" t="inlineStr">
        <is>
          <t>宏观调控</t>
        </is>
      </c>
      <c r="D69" s="4" t="inlineStr">
        <is>
          <t>货币政策</t>
        </is>
      </c>
      <c r="E69" s="4" t="inlineStr">
        <is>
          <t>期限利差（10Y-1Y，bp）</t>
        </is>
      </c>
      <c r="F69" s="4" t="inlineStr">
        <is>
          <t>日度</t>
        </is>
      </c>
      <c r="G69" s="4" t="inlineStr">
        <is>
          <t>政策证据项（不直接计分）</t>
        </is>
      </c>
      <c r="H69" s="4" t="inlineStr">
        <is>
          <t>政策立场/市场利率并不等于经济状态改善；独立记录动作和传导。原稿名称“政策制度”统一为“宏观调控”</t>
        </is>
      </c>
      <c r="I69" s="4" t="n">
        <v>69</v>
      </c>
    </row>
    <row r="70" ht="42" customHeight="1">
      <c r="A70" s="5" t="n">
        <v>67</v>
      </c>
      <c r="B70" s="5" t="inlineStr">
        <is>
          <t>原稿</t>
        </is>
      </c>
      <c r="C70" s="5" t="inlineStr">
        <is>
          <t>宏观调控</t>
        </is>
      </c>
      <c r="D70" s="5" t="inlineStr">
        <is>
          <t>货币政策</t>
        </is>
      </c>
      <c r="E70" s="5" t="inlineStr">
        <is>
          <t>信用利差（AAA企业债-国债，bp）</t>
        </is>
      </c>
      <c r="F70" s="5" t="inlineStr">
        <is>
          <t>日度</t>
        </is>
      </c>
      <c r="G70" s="5" t="inlineStr">
        <is>
          <t>政策证据项（不直接计分）</t>
        </is>
      </c>
      <c r="H70" s="5" t="inlineStr">
        <is>
          <t>政策立场/市场利率并不等于经济状态改善；独立记录动作和传导。原稿名称“政策制度”统一为“宏观调控”</t>
        </is>
      </c>
      <c r="I70" s="5" t="n">
        <v>70</v>
      </c>
    </row>
    <row r="71" ht="42" customHeight="1">
      <c r="A71" s="4" t="n">
        <v>68</v>
      </c>
      <c r="B71" s="4" t="inlineStr">
        <is>
          <t>新增候选</t>
        </is>
      </c>
      <c r="C71" s="4" t="inlineStr">
        <is>
          <t>经济运行</t>
        </is>
      </c>
      <c r="D71" s="4" t="inlineStr">
        <is>
          <t>景气指数</t>
        </is>
      </c>
      <c r="E71" s="4" t="inlineStr">
        <is>
          <t>制造业PMI新订单指数</t>
        </is>
      </c>
      <c r="F71" s="4" t="inlineStr">
        <is>
          <t>月度</t>
        </is>
      </c>
      <c r="G71" s="4" t="inlineStr">
        <is>
          <t>辅助观察</t>
        </is>
      </c>
      <c r="H71" s="4" t="inlineStr">
        <is>
          <t>订单领先于生产，帮助识别拐点；先不与综合PMI双计；首选来源：国家统计局</t>
        </is>
      </c>
      <c r="I71" s="4" t="inlineStr">
        <is>
          <t>—</t>
        </is>
      </c>
    </row>
    <row r="72" ht="42" customHeight="1">
      <c r="A72" s="5" t="n">
        <v>69</v>
      </c>
      <c r="B72" s="5" t="inlineStr">
        <is>
          <t>新增候选</t>
        </is>
      </c>
      <c r="C72" s="5" t="inlineStr">
        <is>
          <t>经济运行</t>
        </is>
      </c>
      <c r="D72" s="5" t="inlineStr">
        <is>
          <t>就业市场</t>
        </is>
      </c>
      <c r="E72" s="5" t="inlineStr">
        <is>
          <t>不含在校生16—24岁劳动力失业率</t>
        </is>
      </c>
      <c r="F72" s="5" t="inlineStr">
        <is>
          <t>月度</t>
        </is>
      </c>
      <c r="G72" s="5" t="inlineStr">
        <is>
          <t>辅助观察</t>
        </is>
      </c>
      <c r="H72" s="5" t="inlineStr">
        <is>
          <t>就业结构验证；该序列与旧青年失业率不可直接拼接；首选来源：国家统计局</t>
        </is>
      </c>
      <c r="I72" s="5" t="inlineStr">
        <is>
          <t>—</t>
        </is>
      </c>
    </row>
    <row r="73" ht="42" customHeight="1">
      <c r="A73" s="4" t="n">
        <v>70</v>
      </c>
      <c r="B73" s="4" t="inlineStr">
        <is>
          <t>新增候选</t>
        </is>
      </c>
      <c r="C73" s="4" t="inlineStr">
        <is>
          <t>增长动力</t>
        </is>
      </c>
      <c r="D73" s="4" t="inlineStr">
        <is>
          <t>消费</t>
        </is>
      </c>
      <c r="E73" s="4" t="inlineStr">
        <is>
          <t>服务零售额累计同比</t>
        </is>
      </c>
      <c r="F73" s="4" t="inlineStr">
        <is>
          <t>月度</t>
        </is>
      </c>
      <c r="G73" s="4" t="inlineStr">
        <is>
          <t>辅助观察</t>
        </is>
      </c>
      <c r="H73" s="4" t="inlineStr">
        <is>
          <t>补实物零售之外的服务需求；与社零口径不同；首选来源：国家统计局</t>
        </is>
      </c>
      <c r="I73" s="4" t="inlineStr">
        <is>
          <t>—</t>
        </is>
      </c>
    </row>
    <row r="74" ht="42" customHeight="1">
      <c r="A74" s="5" t="n">
        <v>71</v>
      </c>
      <c r="B74" s="5" t="inlineStr">
        <is>
          <t>新增候选</t>
        </is>
      </c>
      <c r="C74" s="5" t="inlineStr">
        <is>
          <t>增长动力</t>
        </is>
      </c>
      <c r="D74" s="5" t="inlineStr">
        <is>
          <t>房地产</t>
        </is>
      </c>
      <c r="E74" s="5" t="inlineStr">
        <is>
          <t>商品房待售面积</t>
        </is>
      </c>
      <c r="F74" s="5" t="inlineStr">
        <is>
          <t>月度</t>
        </is>
      </c>
      <c r="G74" s="5" t="inlineStr">
        <is>
          <t>辅助观察</t>
        </is>
      </c>
      <c r="H74" s="5" t="inlineStr">
        <is>
          <t>供给库存约束；优先观察同比与去化，不按绝对值评分；首选来源：国家统计局</t>
        </is>
      </c>
      <c r="I74" s="5" t="inlineStr">
        <is>
          <t>—</t>
        </is>
      </c>
    </row>
    <row r="75" ht="42" customHeight="1">
      <c r="A75" s="4" t="n">
        <v>72</v>
      </c>
      <c r="B75" s="4" t="inlineStr">
        <is>
          <t>新增候选</t>
        </is>
      </c>
      <c r="C75" s="4" t="inlineStr">
        <is>
          <t>经济运行</t>
        </is>
      </c>
      <c r="D75" s="4" t="inlineStr">
        <is>
          <t>国际收支</t>
        </is>
      </c>
      <c r="E75" s="4" t="inlineStr">
        <is>
          <t>经常账户差额/GDP</t>
        </is>
      </c>
      <c r="F75" s="4" t="inlineStr">
        <is>
          <t>季度</t>
        </is>
      </c>
      <c r="G75" s="4" t="inlineStr">
        <is>
          <t>辅助观察</t>
        </is>
      </c>
      <c r="H75" s="4" t="inlineStr">
        <is>
          <t>以规模比率替代贸易顺差绝对值；核对统计期和GDP；首选来源：国家外汇管理局</t>
        </is>
      </c>
      <c r="I75" s="4" t="inlineStr">
        <is>
          <t>—</t>
        </is>
      </c>
    </row>
    <row r="76" ht="42" customHeight="1">
      <c r="A76" s="5" t="n">
        <v>73</v>
      </c>
      <c r="B76" s="5" t="inlineStr">
        <is>
          <t>派生计算</t>
        </is>
      </c>
      <c r="C76" s="5" t="inlineStr">
        <is>
          <t>金融信贷</t>
        </is>
      </c>
      <c r="D76" s="5" t="inlineStr">
        <is>
          <t>信贷结构</t>
        </is>
      </c>
      <c r="E76" s="5" t="inlineStr">
        <is>
          <t>居民中长期贷款近3月同比多增（亿元）</t>
        </is>
      </c>
      <c r="F76" s="5" t="inlineStr">
        <is>
          <t>月度</t>
        </is>
      </c>
      <c r="G76" s="5" t="inlineStr">
        <is>
          <t>核心计分</t>
        </is>
      </c>
      <c r="H76" s="5" t="inlineStr">
        <is>
          <t>新增派生；三个月当月值同去年对应三个月相减；来自原居民中长期贷款</t>
        </is>
      </c>
      <c r="I76" s="5" t="inlineStr">
        <is>
          <t>—</t>
        </is>
      </c>
    </row>
    <row r="77" ht="42" customHeight="1">
      <c r="A77" s="4" t="n">
        <v>74</v>
      </c>
      <c r="B77" s="4" t="inlineStr">
        <is>
          <t>派生计算</t>
        </is>
      </c>
      <c r="C77" s="4" t="inlineStr">
        <is>
          <t>金融信贷</t>
        </is>
      </c>
      <c r="D77" s="4" t="inlineStr">
        <is>
          <t>信贷结构</t>
        </is>
      </c>
      <c r="E77" s="4" t="inlineStr">
        <is>
          <t>企业中长期贷款近3月同比多增（亿元）</t>
        </is>
      </c>
      <c r="F77" s="4" t="inlineStr">
        <is>
          <t>月度</t>
        </is>
      </c>
      <c r="G77" s="4" t="inlineStr">
        <is>
          <t>核心计分</t>
        </is>
      </c>
      <c r="H77" s="4" t="inlineStr">
        <is>
          <t>新增派生；企事业单位口径与原表核对；来自原企业中长期贷款</t>
        </is>
      </c>
      <c r="I77" s="4" t="inlineStr">
        <is>
          <t>—</t>
        </is>
      </c>
    </row>
  </sheetData>
  <autoFilter ref="A3:I77"/>
  <mergeCells count="2">
    <mergeCell ref="A1:I1"/>
    <mergeCell ref="A2:I2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X2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48" customWidth="1" min="4" max="4"/>
    <col width="33" customWidth="1" min="5" max="5"/>
    <col width="12" customWidth="1" min="6" max="6"/>
    <col width="13" customWidth="1" min="7" max="7"/>
    <col width="20" customWidth="1" min="8" max="8"/>
    <col width="17" customWidth="1" min="9" max="9"/>
    <col width="16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72" customWidth="1" min="24" max="24"/>
  </cols>
  <sheetData>
    <row r="1" ht="42" customHeight="1">
      <c r="A1" s="1" t="inlineStr">
        <is>
          <t>核心评分规则｜研究试行</t>
        </is>
      </c>
    </row>
    <row r="2" ht="32" customHeight="1">
      <c r="A2" s="2" t="inlineStr">
        <is>
          <t>21个核心计分指标；权重固定。四个高优阈值按升序；目标型用嵌套区间，5分区间包含于4分区间内。空白不计分。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二级</t>
        </is>
      </c>
      <c r="D3" s="3" t="inlineStr">
        <is>
          <t>核心指标</t>
        </is>
      </c>
      <c r="E3" s="3" t="inlineStr">
        <is>
          <t>观测口径</t>
        </is>
      </c>
      <c r="F3" s="3" t="inlineStr">
        <is>
          <t>频率</t>
        </is>
      </c>
      <c r="G3" s="3" t="inlineStr">
        <is>
          <t>单位</t>
        </is>
      </c>
      <c r="H3" s="3" t="inlineStr">
        <is>
          <t>首选原始机构</t>
        </is>
      </c>
      <c r="I3" s="3" t="inlineStr">
        <is>
          <t>支柱内权重</t>
        </is>
      </c>
      <c r="J3" s="3" t="inlineStr">
        <is>
          <t>总权重</t>
        </is>
      </c>
      <c r="K3" s="3" t="inlineStr">
        <is>
          <t>规则类型</t>
        </is>
      </c>
      <c r="L3" s="3" t="inlineStr">
        <is>
          <t>阈值1</t>
        </is>
      </c>
      <c r="M3" s="3" t="inlineStr">
        <is>
          <t>阈值2</t>
        </is>
      </c>
      <c r="N3" s="3" t="inlineStr">
        <is>
          <t>阈值3</t>
        </is>
      </c>
      <c r="O3" s="3" t="inlineStr">
        <is>
          <t>阈值4</t>
        </is>
      </c>
      <c r="P3" s="3" t="inlineStr">
        <is>
          <t>2分下界</t>
        </is>
      </c>
      <c r="Q3" s="3" t="inlineStr">
        <is>
          <t>2分上界</t>
        </is>
      </c>
      <c r="R3" s="3" t="inlineStr">
        <is>
          <t>3分下界</t>
        </is>
      </c>
      <c r="S3" s="3" t="inlineStr">
        <is>
          <t>3分上界</t>
        </is>
      </c>
      <c r="T3" s="3" t="inlineStr">
        <is>
          <t>4分下界</t>
        </is>
      </c>
      <c r="U3" s="3" t="inlineStr">
        <is>
          <t>4分上界</t>
        </is>
      </c>
      <c r="V3" s="3" t="inlineStr">
        <is>
          <t>5分下界</t>
        </is>
      </c>
      <c r="W3" s="3" t="inlineStr">
        <is>
          <t>5分上界</t>
        </is>
      </c>
      <c r="X3" s="3" t="inlineStr">
        <is>
          <t>口径/风险提示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经济增长</t>
        </is>
      </c>
      <c r="D4" s="5" t="inlineStr">
        <is>
          <t>GDP同比增速（%）</t>
        </is>
      </c>
      <c r="E4" s="5" t="inlineStr">
        <is>
          <t>不变价、当季/累计口径需固定</t>
        </is>
      </c>
      <c r="F4" s="5" t="inlineStr">
        <is>
          <t>季度</t>
        </is>
      </c>
      <c r="G4" s="5" t="inlineStr">
        <is>
          <t>%</t>
        </is>
      </c>
      <c r="H4" s="5" t="inlineStr">
        <is>
          <t>国家统计局</t>
        </is>
      </c>
      <c r="I4" s="11" t="n">
        <v>0.3</v>
      </c>
      <c r="J4" s="7">
        <f>I4*VLOOKUP(B4,'01_权重配置'!$A$4:$B$6,2,FALSE)</f>
        <v/>
      </c>
      <c r="K4" s="5" t="inlineStr">
        <is>
          <t>高优</t>
        </is>
      </c>
      <c r="L4" s="5" t="n">
        <v>3</v>
      </c>
      <c r="M4" s="5" t="n">
        <v>4</v>
      </c>
      <c r="N4" s="5" t="n">
        <v>5</v>
      </c>
      <c r="O4" s="5" t="n">
        <v>6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inlineStr">
        <is>
          <t>年度增长目标变化时重审阈值；初步核算及修订分开留档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物价水平</t>
        </is>
      </c>
      <c r="D5" s="4" t="inlineStr">
        <is>
          <t>CPI同比（%）</t>
        </is>
      </c>
      <c r="E5" s="4" t="inlineStr">
        <is>
          <t>原发布口径</t>
        </is>
      </c>
      <c r="F5" s="4" t="inlineStr">
        <is>
          <t>月度</t>
        </is>
      </c>
      <c r="G5" s="4" t="inlineStr">
        <is>
          <t>%</t>
        </is>
      </c>
      <c r="H5" s="4" t="inlineStr">
        <is>
          <t>国家统计局</t>
        </is>
      </c>
      <c r="I5" s="12" t="n">
        <v>0.12</v>
      </c>
      <c r="J5" s="8">
        <f>I5*VLOOKUP(B5,'01_权重配置'!$A$4:$B$6,2,FALSE)</f>
        <v/>
      </c>
      <c r="K5" s="4" t="inlineStr">
        <is>
          <t>目标</t>
        </is>
      </c>
      <c r="L5" s="4" t="n"/>
      <c r="M5" s="4" t="n"/>
      <c r="N5" s="4" t="n"/>
      <c r="O5" s="4" t="n"/>
      <c r="P5" s="4" t="n">
        <v>0</v>
      </c>
      <c r="Q5" s="4" t="n">
        <v>4.5</v>
      </c>
      <c r="R5" s="4" t="n">
        <v>0.5</v>
      </c>
      <c r="S5" s="4" t="n">
        <v>3.5</v>
      </c>
      <c r="T5" s="4" t="n">
        <v>1</v>
      </c>
      <c r="U5" s="4" t="n">
        <v>3</v>
      </c>
      <c r="V5" s="4" t="n">
        <v>1.5</v>
      </c>
      <c r="W5" s="4" t="n">
        <v>2.5</v>
      </c>
      <c r="X5" s="4" t="inlineStr">
        <is>
          <t>过低和过高都扣分；季节因素看环比辅助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物价水平</t>
        </is>
      </c>
      <c r="D6" s="5" t="inlineStr">
        <is>
          <t>核心CPI同比（%）</t>
        </is>
      </c>
      <c r="E6" s="5" t="inlineStr">
        <is>
          <t>原发布口径</t>
        </is>
      </c>
      <c r="F6" s="5" t="inlineStr">
        <is>
          <t>月度</t>
        </is>
      </c>
      <c r="G6" s="5" t="inlineStr">
        <is>
          <t>%</t>
        </is>
      </c>
      <c r="H6" s="5" t="inlineStr">
        <is>
          <t>国家统计局</t>
        </is>
      </c>
      <c r="I6" s="11" t="n">
        <v>0.1</v>
      </c>
      <c r="J6" s="7">
        <f>I6*VLOOKUP(B6,'01_权重配置'!$A$4:$B$6,2,FALSE)</f>
        <v/>
      </c>
      <c r="K6" s="5" t="inlineStr">
        <is>
          <t>目标</t>
        </is>
      </c>
      <c r="L6" s="5" t="n"/>
      <c r="M6" s="5" t="n"/>
      <c r="N6" s="5" t="n"/>
      <c r="O6" s="5" t="n"/>
      <c r="P6" s="5" t="n">
        <v>0</v>
      </c>
      <c r="Q6" s="5" t="n">
        <v>4</v>
      </c>
      <c r="R6" s="5" t="n">
        <v>0.5</v>
      </c>
      <c r="S6" s="5" t="n">
        <v>3.5</v>
      </c>
      <c r="T6" s="5" t="n">
        <v>1</v>
      </c>
      <c r="U6" s="5" t="n">
        <v>3</v>
      </c>
      <c r="V6" s="5" t="n">
        <v>1.5</v>
      </c>
      <c r="W6" s="5" t="n">
        <v>2.5</v>
      </c>
      <c r="X6" s="5" t="inlineStr">
        <is>
          <t>扣除食品和能源，观察内需价格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物价水平</t>
        </is>
      </c>
      <c r="D7" s="4" t="inlineStr">
        <is>
          <t>PPI同比（%）</t>
        </is>
      </c>
      <c r="E7" s="4" t="inlineStr">
        <is>
          <t>原发布口径</t>
        </is>
      </c>
      <c r="F7" s="4" t="inlineStr">
        <is>
          <t>月度</t>
        </is>
      </c>
      <c r="G7" s="4" t="inlineStr">
        <is>
          <t>%</t>
        </is>
      </c>
      <c r="H7" s="4" t="inlineStr">
        <is>
          <t>国家统计局</t>
        </is>
      </c>
      <c r="I7" s="12" t="n">
        <v>0.08</v>
      </c>
      <c r="J7" s="8">
        <f>I7*VLOOKUP(B7,'01_权重配置'!$A$4:$B$6,2,FALSE)</f>
        <v/>
      </c>
      <c r="K7" s="4" t="inlineStr">
        <is>
          <t>目标</t>
        </is>
      </c>
      <c r="L7" s="4" t="n"/>
      <c r="M7" s="4" t="n"/>
      <c r="N7" s="4" t="n"/>
      <c r="O7" s="4" t="n"/>
      <c r="P7" s="4" t="n">
        <v>-3</v>
      </c>
      <c r="Q7" s="4" t="n">
        <v>8</v>
      </c>
      <c r="R7" s="4" t="n">
        <v>-2</v>
      </c>
      <c r="S7" s="4" t="n">
        <v>6</v>
      </c>
      <c r="T7" s="4" t="n">
        <v>-1</v>
      </c>
      <c r="U7" s="4" t="n">
        <v>4</v>
      </c>
      <c r="V7" s="4" t="n">
        <v>0</v>
      </c>
      <c r="W7" s="4" t="n">
        <v>3</v>
      </c>
      <c r="X7" s="4" t="inlineStr">
        <is>
          <t>极端高增可能来自成本冲击，不再机械给5分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就业市场</t>
        </is>
      </c>
      <c r="D8" s="5" t="inlineStr">
        <is>
          <t>城镇调查失业率（%）</t>
        </is>
      </c>
      <c r="E8" s="5" t="inlineStr">
        <is>
          <t>原发布口径</t>
        </is>
      </c>
      <c r="F8" s="5" t="inlineStr">
        <is>
          <t>月度</t>
        </is>
      </c>
      <c r="G8" s="5" t="inlineStr">
        <is>
          <t>%</t>
        </is>
      </c>
      <c r="H8" s="5" t="inlineStr">
        <is>
          <t>国家统计局</t>
        </is>
      </c>
      <c r="I8" s="11" t="n">
        <v>0.2</v>
      </c>
      <c r="J8" s="7">
        <f>I8*VLOOKUP(B8,'01_权重配置'!$A$4:$B$6,2,FALSE)</f>
        <v/>
      </c>
      <c r="K8" s="5" t="inlineStr">
        <is>
          <t>低优</t>
        </is>
      </c>
      <c r="L8" s="5" t="n">
        <v>4.5</v>
      </c>
      <c r="M8" s="5" t="n">
        <v>5</v>
      </c>
      <c r="N8" s="5" t="n">
        <v>5.5</v>
      </c>
      <c r="O8" s="5" t="n">
        <v>6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inlineStr">
        <is>
          <t>配合就业质量、青年失业率观察；单一指标有限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景气指数</t>
        </is>
      </c>
      <c r="D9" s="4" t="inlineStr">
        <is>
          <t>综合PMI产出指数</t>
        </is>
      </c>
      <c r="E9" s="4" t="inlineStr">
        <is>
          <t>原发布口径</t>
        </is>
      </c>
      <c r="F9" s="4" t="inlineStr">
        <is>
          <t>月度</t>
        </is>
      </c>
      <c r="G9" s="4" t="inlineStr">
        <is>
          <t>指数点</t>
        </is>
      </c>
      <c r="H9" s="4" t="inlineStr">
        <is>
          <t>国家统计局</t>
        </is>
      </c>
      <c r="I9" s="12" t="n">
        <v>0.2</v>
      </c>
      <c r="J9" s="8">
        <f>I9*VLOOKUP(B9,'01_权重配置'!$A$4:$B$6,2,FALSE)</f>
        <v/>
      </c>
      <c r="K9" s="4" t="inlineStr">
        <is>
          <t>高优</t>
        </is>
      </c>
      <c r="L9" s="4" t="n">
        <v>48</v>
      </c>
      <c r="M9" s="4" t="n">
        <v>50</v>
      </c>
      <c r="N9" s="4" t="n">
        <v>52</v>
      </c>
      <c r="O9" s="4" t="n">
        <v>54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inlineStr">
        <is>
          <t>制造业和非制造业PMI保留作结构解释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工业生产</t>
        </is>
      </c>
      <c r="D10" s="5" t="inlineStr">
        <is>
          <t>规模以上工业增加值增速（%）</t>
        </is>
      </c>
      <c r="E10" s="5" t="inlineStr">
        <is>
          <t>原发布口径</t>
        </is>
      </c>
      <c r="F10" s="5" t="inlineStr">
        <is>
          <t>月度</t>
        </is>
      </c>
      <c r="G10" s="5" t="inlineStr">
        <is>
          <t>%</t>
        </is>
      </c>
      <c r="H10" s="5" t="inlineStr">
        <is>
          <t>国家统计局</t>
        </is>
      </c>
      <c r="I10" s="11" t="n">
        <v>0.12</v>
      </c>
      <c r="J10" s="7">
        <f>I10*VLOOKUP(B10,'01_权重配置'!$A$4:$B$6,2,FALSE)</f>
        <v/>
      </c>
      <c r="K10" s="5" t="inlineStr">
        <is>
          <t>高优</t>
        </is>
      </c>
      <c r="L10" s="5" t="n">
        <v>3</v>
      </c>
      <c r="M10" s="5" t="n">
        <v>5</v>
      </c>
      <c r="N10" s="5" t="n">
        <v>6</v>
      </c>
      <c r="O10" s="5" t="n">
        <v>8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inlineStr">
        <is>
          <t>固定当月同比口径，1—2月合并发布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工业生产</t>
        </is>
      </c>
      <c r="D11" s="4" t="inlineStr">
        <is>
          <t>工业企业利润总额增速（%）</t>
        </is>
      </c>
      <c r="E11" s="4" t="inlineStr">
        <is>
          <t>年初累计同比</t>
        </is>
      </c>
      <c r="F11" s="4" t="inlineStr">
        <is>
          <t>月度</t>
        </is>
      </c>
      <c r="G11" s="4" t="inlineStr">
        <is>
          <t>%</t>
        </is>
      </c>
      <c r="H11" s="4" t="inlineStr">
        <is>
          <t>国家统计局</t>
        </is>
      </c>
      <c r="I11" s="12" t="n">
        <v>0.08</v>
      </c>
      <c r="J11" s="8">
        <f>I11*VLOOKUP(B11,'01_权重配置'!$A$4:$B$6,2,FALSE)</f>
        <v/>
      </c>
      <c r="K11" s="4" t="inlineStr">
        <is>
          <t>高优</t>
        </is>
      </c>
      <c r="L11" s="4" t="n">
        <v>-10</v>
      </c>
      <c r="M11" s="4" t="n">
        <v>0</v>
      </c>
      <c r="N11" s="4" t="n">
        <v>8</v>
      </c>
      <c r="O11" s="4" t="n">
        <v>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inlineStr">
        <is>
          <t>官方多为年初累计同比，勿误写当月同比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房地产</t>
        </is>
      </c>
      <c r="D12" s="5" t="inlineStr">
        <is>
          <t>商品房销售面积增速（%）</t>
        </is>
      </c>
      <c r="E12" s="5" t="inlineStr">
        <is>
          <t>年初累计同比</t>
        </is>
      </c>
      <c r="F12" s="5" t="inlineStr">
        <is>
          <t>月度</t>
        </is>
      </c>
      <c r="G12" s="5" t="inlineStr">
        <is>
          <t>%</t>
        </is>
      </c>
      <c r="H12" s="5" t="inlineStr">
        <is>
          <t>国家统计局</t>
        </is>
      </c>
      <c r="I12" s="11" t="n">
        <v>0.1</v>
      </c>
      <c r="J12" s="7">
        <f>I12*VLOOKUP(B12,'01_权重配置'!$A$4:$B$6,2,FALSE)</f>
        <v/>
      </c>
      <c r="K12" s="5" t="inlineStr">
        <is>
          <t>高优</t>
        </is>
      </c>
      <c r="L12" s="5" t="n">
        <v>-20</v>
      </c>
      <c r="M12" s="5" t="n">
        <v>-10</v>
      </c>
      <c r="N12" s="5" t="n">
        <v>0</v>
      </c>
      <c r="O12" s="5" t="n">
        <v>5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固定年初累计同比，不与单月增量混用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房地产</t>
        </is>
      </c>
      <c r="D13" s="4" t="inlineStr">
        <is>
          <t>房屋新开工面积增速（%）</t>
        </is>
      </c>
      <c r="E13" s="4" t="inlineStr">
        <is>
          <t>年初累计同比</t>
        </is>
      </c>
      <c r="F13" s="4" t="inlineStr">
        <is>
          <t>月度</t>
        </is>
      </c>
      <c r="G13" s="4" t="inlineStr">
        <is>
          <t>%</t>
        </is>
      </c>
      <c r="H13" s="4" t="inlineStr">
        <is>
          <t>国家统计局</t>
        </is>
      </c>
      <c r="I13" s="12" t="n">
        <v>0.04</v>
      </c>
      <c r="J13" s="8">
        <f>I13*VLOOKUP(B13,'01_权重配置'!$A$4:$B$6,2,FALSE)</f>
        <v/>
      </c>
      <c r="K13" s="4" t="inlineStr">
        <is>
          <t>高优</t>
        </is>
      </c>
      <c r="L13" s="4" t="n">
        <v>-25</v>
      </c>
      <c r="M13" s="4" t="n">
        <v>-10</v>
      </c>
      <c r="N13" s="4" t="n">
        <v>0</v>
      </c>
      <c r="O13" s="4" t="n">
        <v>10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inlineStr">
        <is>
          <t>固定年初累计同比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</t>
        </is>
      </c>
      <c r="D14" s="5" t="inlineStr">
        <is>
          <t>房地产开发企业资金来源增速（%）</t>
        </is>
      </c>
      <c r="E14" s="5" t="inlineStr">
        <is>
          <t>年初累计同比</t>
        </is>
      </c>
      <c r="F14" s="5" t="inlineStr">
        <is>
          <t>月度</t>
        </is>
      </c>
      <c r="G14" s="5" t="inlineStr">
        <is>
          <t>%</t>
        </is>
      </c>
      <c r="H14" s="5" t="inlineStr">
        <is>
          <t>国家统计局</t>
        </is>
      </c>
      <c r="I14" s="11" t="n">
        <v>0.06</v>
      </c>
      <c r="J14" s="7">
        <f>I14*VLOOKUP(B14,'01_权重配置'!$A$4:$B$6,2,FALSE)</f>
        <v/>
      </c>
      <c r="K14" s="5" t="inlineStr">
        <is>
          <t>高优</t>
        </is>
      </c>
      <c r="L14" s="5" t="n">
        <v>-15</v>
      </c>
      <c r="M14" s="5" t="n">
        <v>-5</v>
      </c>
      <c r="N14" s="5" t="n">
        <v>0</v>
      </c>
      <c r="O14" s="5" t="n">
        <v>10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inlineStr">
        <is>
          <t>固定年初累计同比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投资</t>
        </is>
      </c>
      <c r="D15" s="4" t="inlineStr">
        <is>
          <t>固定资产投资（FAI）增速（%）</t>
        </is>
      </c>
      <c r="E15" s="4" t="inlineStr">
        <is>
          <t>年初累计同比</t>
        </is>
      </c>
      <c r="F15" s="4" t="inlineStr">
        <is>
          <t>月度</t>
        </is>
      </c>
      <c r="G15" s="4" t="inlineStr">
        <is>
          <t>%</t>
        </is>
      </c>
      <c r="H15" s="4" t="inlineStr">
        <is>
          <t>国家统计局</t>
        </is>
      </c>
      <c r="I15" s="12" t="n">
        <v>0.05</v>
      </c>
      <c r="J15" s="8">
        <f>I15*VLOOKUP(B15,'01_权重配置'!$A$4:$B$6,2,FALSE)</f>
        <v/>
      </c>
      <c r="K15" s="4" t="inlineStr">
        <is>
          <t>高优</t>
        </is>
      </c>
      <c r="L15" s="4" t="n">
        <v>2</v>
      </c>
      <c r="M15" s="4" t="n">
        <v>4</v>
      </c>
      <c r="N15" s="4" t="n">
        <v>6</v>
      </c>
      <c r="O15" s="4" t="n">
        <v>8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inlineStr">
        <is>
          <t>不含农户；固定年初累计同比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投资</t>
        </is>
      </c>
      <c r="D16" s="5" t="inlineStr">
        <is>
          <t>制造业投资增速（%）</t>
        </is>
      </c>
      <c r="E16" s="5" t="inlineStr">
        <is>
          <t>年初累计同比</t>
        </is>
      </c>
      <c r="F16" s="5" t="inlineStr">
        <is>
          <t>月度</t>
        </is>
      </c>
      <c r="G16" s="5" t="inlineStr">
        <is>
          <t>%</t>
        </is>
      </c>
      <c r="H16" s="5" t="inlineStr">
        <is>
          <t>国家统计局</t>
        </is>
      </c>
      <c r="I16" s="11" t="n">
        <v>0.1</v>
      </c>
      <c r="J16" s="7">
        <f>I16*VLOOKUP(B16,'01_权重配置'!$A$4:$B$6,2,FALSE)</f>
        <v/>
      </c>
      <c r="K16" s="5" t="inlineStr">
        <is>
          <t>高优</t>
        </is>
      </c>
      <c r="L16" s="5" t="n">
        <v>4</v>
      </c>
      <c r="M16" s="5" t="n">
        <v>7</v>
      </c>
      <c r="N16" s="5" t="n">
        <v>10</v>
      </c>
      <c r="O16" s="5" t="n">
        <v>14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inlineStr">
        <is>
          <t>不含农户；固定年初累计同比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投资</t>
        </is>
      </c>
      <c r="D17" s="4" t="inlineStr">
        <is>
          <t>民间固定资产投资增速（%）</t>
        </is>
      </c>
      <c r="E17" s="4" t="inlineStr">
        <is>
          <t>年初累计同比</t>
        </is>
      </c>
      <c r="F17" s="4" t="inlineStr">
        <is>
          <t>月度</t>
        </is>
      </c>
      <c r="G17" s="4" t="inlineStr">
        <is>
          <t>%</t>
        </is>
      </c>
      <c r="H17" s="4" t="inlineStr">
        <is>
          <t>国家统计局</t>
        </is>
      </c>
      <c r="I17" s="12" t="n">
        <v>0.1</v>
      </c>
      <c r="J17" s="8">
        <f>I17*VLOOKUP(B17,'01_权重配置'!$A$4:$B$6,2,FALSE)</f>
        <v/>
      </c>
      <c r="K17" s="4" t="inlineStr">
        <is>
          <t>高优</t>
        </is>
      </c>
      <c r="L17" s="4" t="n">
        <v>2</v>
      </c>
      <c r="M17" s="4" t="n">
        <v>4</v>
      </c>
      <c r="N17" s="4" t="n">
        <v>6</v>
      </c>
      <c r="O17" s="4" t="n">
        <v>9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inlineStr">
        <is>
          <t>不含农户；固定年初累计同比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消费</t>
        </is>
      </c>
      <c r="D18" s="5" t="inlineStr">
        <is>
          <t>社会消费品零售总额增速（%）</t>
        </is>
      </c>
      <c r="E18" s="5" t="inlineStr">
        <is>
          <t>当月名义同比</t>
        </is>
      </c>
      <c r="F18" s="5" t="inlineStr">
        <is>
          <t>月度</t>
        </is>
      </c>
      <c r="G18" s="5" t="inlineStr">
        <is>
          <t>%</t>
        </is>
      </c>
      <c r="H18" s="5" t="inlineStr">
        <is>
          <t>国家统计局</t>
        </is>
      </c>
      <c r="I18" s="11" t="n">
        <v>0.25</v>
      </c>
      <c r="J18" s="7">
        <f>I18*VLOOKUP(B18,'01_权重配置'!$A$4:$B$6,2,FALSE)</f>
        <v/>
      </c>
      <c r="K18" s="5" t="inlineStr">
        <is>
          <t>高优</t>
        </is>
      </c>
      <c r="L18" s="5" t="n">
        <v>2</v>
      </c>
      <c r="M18" s="5" t="n">
        <v>4</v>
      </c>
      <c r="N18" s="5" t="n">
        <v>6</v>
      </c>
      <c r="O18" s="5" t="n">
        <v>8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inlineStr">
        <is>
          <t>固定当月名义同比；服务零售辅助验证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进出口</t>
        </is>
      </c>
      <c r="D19" s="4" t="inlineStr">
        <is>
          <t>出口金额增速（美元计，%）</t>
        </is>
      </c>
      <c r="E19" s="4" t="inlineStr">
        <is>
          <t>美元计当月同比</t>
        </is>
      </c>
      <c r="F19" s="4" t="inlineStr">
        <is>
          <t>月度</t>
        </is>
      </c>
      <c r="G19" s="4" t="inlineStr">
        <is>
          <t>%</t>
        </is>
      </c>
      <c r="H19" s="4" t="inlineStr">
        <is>
          <t>海关总署</t>
        </is>
      </c>
      <c r="I19" s="12" t="n">
        <v>0.1</v>
      </c>
      <c r="J19" s="8">
        <f>I19*VLOOKUP(B19,'01_权重配置'!$A$4:$B$6,2,FALSE)</f>
        <v/>
      </c>
      <c r="K19" s="4" t="inlineStr">
        <is>
          <t>高优</t>
        </is>
      </c>
      <c r="L19" s="4" t="n">
        <v>-5</v>
      </c>
      <c r="M19" s="4" t="n">
        <v>0</v>
      </c>
      <c r="N19" s="4" t="n">
        <v>5</v>
      </c>
      <c r="O19" s="4" t="n">
        <v>10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inlineStr">
        <is>
          <t>固定美元计同比；人民币计与价格拆分辅助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信贷结构</t>
        </is>
      </c>
      <c r="D20" s="5" t="inlineStr">
        <is>
          <t>居民中长期贷款近3月同比多增（亿元）</t>
        </is>
      </c>
      <c r="E20" s="5" t="inlineStr">
        <is>
          <t>派生：近3月同比多增</t>
        </is>
      </c>
      <c r="F20" s="5" t="inlineStr">
        <is>
          <t>月度</t>
        </is>
      </c>
      <c r="G20" s="5" t="inlineStr">
        <is>
          <t>亿元</t>
        </is>
      </c>
      <c r="H20" s="5" t="inlineStr">
        <is>
          <t>中国人民银行</t>
        </is>
      </c>
      <c r="I20" s="11" t="n">
        <v>0.15</v>
      </c>
      <c r="J20" s="7">
        <f>I20*VLOOKUP(B20,'01_权重配置'!$A$4:$B$6,2,FALSE)</f>
        <v/>
      </c>
      <c r="K20" s="5" t="inlineStr">
        <is>
          <t>高优</t>
        </is>
      </c>
      <c r="L20" s="5" t="n">
        <v>-3000</v>
      </c>
      <c r="M20" s="5" t="n">
        <v>-1500</v>
      </c>
      <c r="N20" s="5" t="n">
        <v>0</v>
      </c>
      <c r="O20" s="5" t="n">
        <v>1500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inlineStr">
        <is>
          <t>由三个月当月新增之和减上年对应三个月；春节错位需特别解释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信贷结构</t>
        </is>
      </c>
      <c r="D21" s="4" t="inlineStr">
        <is>
          <t>企业中长期贷款近3月同比多增（亿元）</t>
        </is>
      </c>
      <c r="E21" s="4" t="inlineStr">
        <is>
          <t>派生：近3月同比多增</t>
        </is>
      </c>
      <c r="F21" s="4" t="inlineStr">
        <is>
          <t>月度</t>
        </is>
      </c>
      <c r="G21" s="4" t="inlineStr">
        <is>
          <t>亿元</t>
        </is>
      </c>
      <c r="H21" s="4" t="inlineStr">
        <is>
          <t>中国人民银行</t>
        </is>
      </c>
      <c r="I21" s="12" t="n">
        <v>0.2</v>
      </c>
      <c r="J21" s="8">
        <f>I21*VLOOKUP(B21,'01_权重配置'!$A$4:$B$6,2,FALSE)</f>
        <v/>
      </c>
      <c r="K21" s="4" t="inlineStr">
        <is>
          <t>高优</t>
        </is>
      </c>
      <c r="L21" s="4" t="n">
        <v>-5000</v>
      </c>
      <c r="M21" s="4" t="n">
        <v>-2500</v>
      </c>
      <c r="N21" s="4" t="n">
        <v>0</v>
      </c>
      <c r="O21" s="4" t="n">
        <v>2500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inlineStr">
        <is>
          <t>企事业单位口径须与原表核对；不得仅用累计值伪装当月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社会融资</t>
        </is>
      </c>
      <c r="D22" s="5" t="inlineStr">
        <is>
          <t>社融规模存量增速（%）</t>
        </is>
      </c>
      <c r="E22" s="5" t="inlineStr">
        <is>
          <t>期末同比</t>
        </is>
      </c>
      <c r="F22" s="5" t="inlineStr">
        <is>
          <t>月度</t>
        </is>
      </c>
      <c r="G22" s="5" t="inlineStr">
        <is>
          <t>%</t>
        </is>
      </c>
      <c r="H22" s="5" t="inlineStr">
        <is>
          <t>中国人民银行</t>
        </is>
      </c>
      <c r="I22" s="11" t="n">
        <v>0.25</v>
      </c>
      <c r="J22" s="7">
        <f>I22*VLOOKUP(B22,'01_权重配置'!$A$4:$B$6,2,FALSE)</f>
        <v/>
      </c>
      <c r="K22" s="5" t="inlineStr">
        <is>
          <t>高优</t>
        </is>
      </c>
      <c r="L22" s="5" t="n">
        <v>7</v>
      </c>
      <c r="M22" s="5" t="n">
        <v>8.5</v>
      </c>
      <c r="N22" s="5" t="n">
        <v>10</v>
      </c>
      <c r="O22" s="5" t="n">
        <v>12</v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5" t="inlineStr">
        <is>
          <t>存量期末同比；注意历史统计范围变化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社会融资</t>
        </is>
      </c>
      <c r="D23" s="4" t="inlineStr">
        <is>
          <t>人民币贷款存量增速（%）</t>
        </is>
      </c>
      <c r="E23" s="4" t="inlineStr">
        <is>
          <t>期末同比</t>
        </is>
      </c>
      <c r="F23" s="4" t="inlineStr">
        <is>
          <t>月度</t>
        </is>
      </c>
      <c r="G23" s="4" t="inlineStr">
        <is>
          <t>%</t>
        </is>
      </c>
      <c r="H23" s="4" t="inlineStr">
        <is>
          <t>中国人民银行</t>
        </is>
      </c>
      <c r="I23" s="12" t="n">
        <v>0.15</v>
      </c>
      <c r="J23" s="8">
        <f>I23*VLOOKUP(B23,'01_权重配置'!$A$4:$B$6,2,FALSE)</f>
        <v/>
      </c>
      <c r="K23" s="4" t="inlineStr">
        <is>
          <t>高优</t>
        </is>
      </c>
      <c r="L23" s="4" t="n">
        <v>7</v>
      </c>
      <c r="M23" s="4" t="n">
        <v>9</v>
      </c>
      <c r="N23" s="4" t="n">
        <v>11</v>
      </c>
      <c r="O23" s="4" t="n">
        <v>13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inlineStr">
        <is>
          <t>与社融存量增速信息重叠，权重已下调；核清金融机构/社融口径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货币供给</t>
        </is>
      </c>
      <c r="D24" s="5" t="inlineStr">
        <is>
          <t>M1-M2剪刀差</t>
        </is>
      </c>
      <c r="E24" s="5" t="inlineStr">
        <is>
          <t>新口径M1同比−同月M2同比</t>
        </is>
      </c>
      <c r="F24" s="5" t="inlineStr">
        <is>
          <t>月度</t>
        </is>
      </c>
      <c r="G24" s="5" t="inlineStr">
        <is>
          <t>百分点</t>
        </is>
      </c>
      <c r="H24" s="5" t="inlineStr">
        <is>
          <t>中国人民银行</t>
        </is>
      </c>
      <c r="I24" s="11" t="n">
        <v>0.25</v>
      </c>
      <c r="J24" s="7">
        <f>I24*VLOOKUP(B24,'01_权重配置'!$A$4:$B$6,2,FALSE)</f>
        <v/>
      </c>
      <c r="K24" s="5" t="inlineStr">
        <is>
          <t>目标</t>
        </is>
      </c>
      <c r="L24" s="5" t="n"/>
      <c r="M24" s="5" t="n"/>
      <c r="N24" s="5" t="n"/>
      <c r="O24" s="5" t="n"/>
      <c r="P24" s="5" t="n">
        <v>-10</v>
      </c>
      <c r="Q24" s="5" t="n">
        <v>12</v>
      </c>
      <c r="R24" s="5" t="n">
        <v>-5</v>
      </c>
      <c r="S24" s="5" t="n">
        <v>8</v>
      </c>
      <c r="T24" s="5" t="n">
        <v>-2</v>
      </c>
      <c r="U24" s="5" t="n">
        <v>5</v>
      </c>
      <c r="V24" s="5" t="n">
        <v>0</v>
      </c>
      <c r="W24" s="5" t="n">
        <v>3</v>
      </c>
      <c r="X24" s="5" t="inlineStr">
        <is>
          <t>M1同比减M2同比；新旧M1口径不能直接连成同一评级序列</t>
        </is>
      </c>
    </row>
  </sheetData>
  <autoFilter ref="A3:X24"/>
  <mergeCells count="2">
    <mergeCell ref="A2:X2"/>
    <mergeCell ref="A1:X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L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9" customWidth="1" min="3" max="3"/>
    <col width="17" customWidth="1" min="4" max="4"/>
    <col width="17" customWidth="1" min="5" max="5"/>
    <col width="17" customWidth="1" min="6" max="6"/>
    <col width="17" customWidth="1" min="7" max="7"/>
    <col width="13" customWidth="1" min="8" max="8"/>
    <col width="15" customWidth="1" min="9" max="9"/>
    <col width="15" customWidth="1" min="10" max="10"/>
    <col width="56" customWidth="1" min="11" max="11"/>
    <col width="47" customWidth="1" min="12" max="12"/>
  </cols>
  <sheetData>
    <row r="1" ht="42" customHeight="1">
      <c r="A1" s="1" t="inlineStr">
        <is>
          <t>本期数据录入</t>
        </is>
      </c>
    </row>
    <row r="2" ht="32" customHeight="1">
      <c r="A2" s="2" t="inlineStr">
        <is>
          <t>仅录入评价日之前已正式发布且核验的值。F列数值和K列官方链接等由研究员填写；H/J自动计算，未核验保持空白。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指标</t>
        </is>
      </c>
      <c r="D3" s="3" t="inlineStr">
        <is>
          <t>统计期</t>
        </is>
      </c>
      <c r="E3" s="3" t="inlineStr">
        <is>
          <t>发布日期</t>
        </is>
      </c>
      <c r="F3" s="3" t="inlineStr">
        <is>
          <t>观测值</t>
        </is>
      </c>
      <c r="G3" s="3" t="inlineStr">
        <is>
          <t>核验状态</t>
        </is>
      </c>
      <c r="H3" s="3" t="inlineStr">
        <is>
          <t>自动得分</t>
        </is>
      </c>
      <c r="I3" s="3" t="inlineStr">
        <is>
          <t>固定总权重</t>
        </is>
      </c>
      <c r="J3" s="3" t="inlineStr">
        <is>
          <t>得分贡献</t>
        </is>
      </c>
      <c r="K3" s="3" t="inlineStr">
        <is>
          <t>原文链接/补充源代码</t>
        </is>
      </c>
      <c r="L3" s="3" t="inlineStr">
        <is>
          <t>口径与修订说明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GDP同比增速（%）</t>
        </is>
      </c>
      <c r="D4" s="13" t="n"/>
      <c r="E4" s="13" t="n"/>
      <c r="F4" s="14" t="n"/>
      <c r="G4" s="14" t="inlineStr">
        <is>
          <t>待核验</t>
        </is>
      </c>
      <c r="H4" s="5">
        <f>IF(OR(NOT(ISNUMBER(F4)),G4&lt;&gt;"已核验",D4="",E4="",K4="",'05_评级汇总'!$B$22="",E4&gt;'05_评级汇总'!$B$22),"",IF(F4&lt;'03_核心评分规则'!L4,1,IF(F4&lt;'03_核心评分规则'!M4,2,IF(F4&lt;'03_核心评分规则'!N4,3,IF(F4&lt;'03_核心评分规则'!O4,4,5)))))</f>
        <v/>
      </c>
      <c r="I4" s="7">
        <f>'03_核心评分规则'!J4</f>
        <v/>
      </c>
      <c r="J4" s="15">
        <f>IF(ISNUMBER(H4),H4*I4,0)</f>
        <v/>
      </c>
      <c r="K4" s="14" t="n"/>
      <c r="L4" s="14" t="inlineStr">
        <is>
          <t>不变价、当季/累计口径需固定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CPI同比（%）</t>
        </is>
      </c>
      <c r="D5" s="13" t="n"/>
      <c r="E5" s="13" t="n"/>
      <c r="F5" s="14" t="n"/>
      <c r="G5" s="14" t="inlineStr">
        <is>
          <t>待核验</t>
        </is>
      </c>
      <c r="H5" s="4">
        <f>IF(OR(NOT(ISNUMBER(F5)),G5&lt;&gt;"已核验",D5="",E5="",K5="",'05_评级汇总'!$B$22="",E5&gt;'05_评级汇总'!$B$22),"",IF(AND(F5&gt;='03_核心评分规则'!V5,F5&lt;='03_核心评分规则'!W5),5,IF(AND(F5&gt;='03_核心评分规则'!T5,F5&lt;='03_核心评分规则'!U5),4,IF(AND(F5&gt;='03_核心评分规则'!R5,F5&lt;='03_核心评分规则'!S5),3,IF(AND(F5&gt;='03_核心评分规则'!P5,F5&lt;='03_核心评分规则'!Q5),2,1)))))</f>
        <v/>
      </c>
      <c r="I5" s="8">
        <f>'03_核心评分规则'!J5</f>
        <v/>
      </c>
      <c r="J5" s="16">
        <f>IF(ISNUMBER(H5),H5*I5,0)</f>
        <v/>
      </c>
      <c r="K5" s="14" t="n"/>
      <c r="L5" s="14" t="inlineStr">
        <is>
          <t>原发布口径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核心CPI同比（%）</t>
        </is>
      </c>
      <c r="D6" s="13" t="n"/>
      <c r="E6" s="13" t="n"/>
      <c r="F6" s="14" t="n"/>
      <c r="G6" s="14" t="inlineStr">
        <is>
          <t>待核验</t>
        </is>
      </c>
      <c r="H6" s="5">
        <f>IF(OR(NOT(ISNUMBER(F6)),G6&lt;&gt;"已核验",D6="",E6="",K6="",'05_评级汇总'!$B$22="",E6&gt;'05_评级汇总'!$B$22),"",IF(AND(F6&gt;='03_核心评分规则'!V6,F6&lt;='03_核心评分规则'!W6),5,IF(AND(F6&gt;='03_核心评分规则'!T6,F6&lt;='03_核心评分规则'!U6),4,IF(AND(F6&gt;='03_核心评分规则'!R6,F6&lt;='03_核心评分规则'!S6),3,IF(AND(F6&gt;='03_核心评分规则'!P6,F6&lt;='03_核心评分规则'!Q6),2,1)))))</f>
        <v/>
      </c>
      <c r="I6" s="7">
        <f>'03_核心评分规则'!J6</f>
        <v/>
      </c>
      <c r="J6" s="15">
        <f>IF(ISNUMBER(H6),H6*I6,0)</f>
        <v/>
      </c>
      <c r="K6" s="14" t="n"/>
      <c r="L6" s="14" t="inlineStr">
        <is>
          <t>原发布口径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PPI同比（%）</t>
        </is>
      </c>
      <c r="D7" s="13" t="n"/>
      <c r="E7" s="13" t="n"/>
      <c r="F7" s="14" t="n"/>
      <c r="G7" s="14" t="inlineStr">
        <is>
          <t>待核验</t>
        </is>
      </c>
      <c r="H7" s="4">
        <f>IF(OR(NOT(ISNUMBER(F7)),G7&lt;&gt;"已核验",D7="",E7="",K7="",'05_评级汇总'!$B$22="",E7&gt;'05_评级汇总'!$B$22),"",IF(AND(F7&gt;='03_核心评分规则'!V7,F7&lt;='03_核心评分规则'!W7),5,IF(AND(F7&gt;='03_核心评分规则'!T7,F7&lt;='03_核心评分规则'!U7),4,IF(AND(F7&gt;='03_核心评分规则'!R7,F7&lt;='03_核心评分规则'!S7),3,IF(AND(F7&gt;='03_核心评分规则'!P7,F7&lt;='03_核心评分规则'!Q7),2,1)))))</f>
        <v/>
      </c>
      <c r="I7" s="8">
        <f>'03_核心评分规则'!J7</f>
        <v/>
      </c>
      <c r="J7" s="16">
        <f>IF(ISNUMBER(H7),H7*I7,0)</f>
        <v/>
      </c>
      <c r="K7" s="14" t="n"/>
      <c r="L7" s="14" t="inlineStr">
        <is>
          <t>原发布口径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城镇调查失业率（%）</t>
        </is>
      </c>
      <c r="D8" s="13" t="n"/>
      <c r="E8" s="13" t="n"/>
      <c r="F8" s="14" t="n"/>
      <c r="G8" s="14" t="inlineStr">
        <is>
          <t>待核验</t>
        </is>
      </c>
      <c r="H8" s="5">
        <f>IF(OR(NOT(ISNUMBER(F8)),G8&lt;&gt;"已核验",D8="",E8="",K8="",'05_评级汇总'!$B$22="",E8&gt;'05_评级汇总'!$B$22),"",IF(F8&lt;'03_核心评分规则'!L8,5,IF(F8&lt;'03_核心评分规则'!M8,4,IF(F8&lt;'03_核心评分规则'!N8,3,IF(F8&lt;'03_核心评分规则'!O8,2,1)))))</f>
        <v/>
      </c>
      <c r="I8" s="7">
        <f>'03_核心评分规则'!J8</f>
        <v/>
      </c>
      <c r="J8" s="15">
        <f>IF(ISNUMBER(H8),H8*I8,0)</f>
        <v/>
      </c>
      <c r="K8" s="14" t="n"/>
      <c r="L8" s="14" t="inlineStr">
        <is>
          <t>原发布口径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综合PMI产出指数</t>
        </is>
      </c>
      <c r="D9" s="13" t="n"/>
      <c r="E9" s="13" t="n"/>
      <c r="F9" s="14" t="n"/>
      <c r="G9" s="14" t="inlineStr">
        <is>
          <t>待核验</t>
        </is>
      </c>
      <c r="H9" s="4">
        <f>IF(OR(NOT(ISNUMBER(F9)),G9&lt;&gt;"已核验",D9="",E9="",K9="",'05_评级汇总'!$B$22="",E9&gt;'05_评级汇总'!$B$22),"",IF(F9&lt;'03_核心评分规则'!L9,1,IF(F9&lt;'03_核心评分规则'!M9,2,IF(F9&lt;'03_核心评分规则'!N9,3,IF(F9&lt;'03_核心评分规则'!O9,4,5)))))</f>
        <v/>
      </c>
      <c r="I9" s="8">
        <f>'03_核心评分规则'!J9</f>
        <v/>
      </c>
      <c r="J9" s="16">
        <f>IF(ISNUMBER(H9),H9*I9,0)</f>
        <v/>
      </c>
      <c r="K9" s="14" t="n"/>
      <c r="L9" s="14" t="inlineStr">
        <is>
          <t>原发布口径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规模以上工业增加值增速（%）</t>
        </is>
      </c>
      <c r="D10" s="13" t="n"/>
      <c r="E10" s="13" t="n"/>
      <c r="F10" s="14" t="n"/>
      <c r="G10" s="14" t="inlineStr">
        <is>
          <t>待核验</t>
        </is>
      </c>
      <c r="H10" s="5">
        <f>IF(OR(NOT(ISNUMBER(F10)),G10&lt;&gt;"已核验",D10="",E10="",K10="",'05_评级汇总'!$B$22="",E10&gt;'05_评级汇总'!$B$22),"",IF(F10&lt;'03_核心评分规则'!L10,1,IF(F10&lt;'03_核心评分规则'!M10,2,IF(F10&lt;'03_核心评分规则'!N10,3,IF(F10&lt;'03_核心评分规则'!O10,4,5)))))</f>
        <v/>
      </c>
      <c r="I10" s="7">
        <f>'03_核心评分规则'!J10</f>
        <v/>
      </c>
      <c r="J10" s="15">
        <f>IF(ISNUMBER(H10),H10*I10,0)</f>
        <v/>
      </c>
      <c r="K10" s="14" t="n"/>
      <c r="L10" s="14" t="inlineStr">
        <is>
          <t>原发布口径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工业企业利润总额增速（%）</t>
        </is>
      </c>
      <c r="D11" s="13" t="n"/>
      <c r="E11" s="13" t="n"/>
      <c r="F11" s="14" t="n"/>
      <c r="G11" s="14" t="inlineStr">
        <is>
          <t>待核验</t>
        </is>
      </c>
      <c r="H11" s="4">
        <f>IF(OR(NOT(ISNUMBER(F11)),G11&lt;&gt;"已核验",D11="",E11="",K11="",'05_评级汇总'!$B$22="",E11&gt;'05_评级汇总'!$B$22),"",IF(F11&lt;'03_核心评分规则'!L11,1,IF(F11&lt;'03_核心评分规则'!M11,2,IF(F11&lt;'03_核心评分规则'!N11,3,IF(F11&lt;'03_核心评分规则'!O11,4,5)))))</f>
        <v/>
      </c>
      <c r="I11" s="8">
        <f>'03_核心评分规则'!J11</f>
        <v/>
      </c>
      <c r="J11" s="16">
        <f>IF(ISNUMBER(H11),H11*I11,0)</f>
        <v/>
      </c>
      <c r="K11" s="14" t="n"/>
      <c r="L11" s="14" t="inlineStr">
        <is>
          <t>年初累计同比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商品房销售面积增速（%）</t>
        </is>
      </c>
      <c r="D12" s="13" t="n"/>
      <c r="E12" s="13" t="n"/>
      <c r="F12" s="14" t="n"/>
      <c r="G12" s="14" t="inlineStr">
        <is>
          <t>待核验</t>
        </is>
      </c>
      <c r="H12" s="5">
        <f>IF(OR(NOT(ISNUMBER(F12)),G12&lt;&gt;"已核验",D12="",E12="",K12="",'05_评级汇总'!$B$22="",E12&gt;'05_评级汇总'!$B$22),"",IF(F12&lt;'03_核心评分规则'!L12,1,IF(F12&lt;'03_核心评分规则'!M12,2,IF(F12&lt;'03_核心评分规则'!N12,3,IF(F12&lt;'03_核心评分规则'!O12,4,5)))))</f>
        <v/>
      </c>
      <c r="I12" s="7">
        <f>'03_核心评分规则'!J12</f>
        <v/>
      </c>
      <c r="J12" s="15">
        <f>IF(ISNUMBER(H12),H12*I12,0)</f>
        <v/>
      </c>
      <c r="K12" s="14" t="n"/>
      <c r="L12" s="14" t="inlineStr">
        <is>
          <t>年初累计同比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房屋新开工面积增速（%）</t>
        </is>
      </c>
      <c r="D13" s="13" t="n"/>
      <c r="E13" s="13" t="n"/>
      <c r="F13" s="14" t="n"/>
      <c r="G13" s="14" t="inlineStr">
        <is>
          <t>待核验</t>
        </is>
      </c>
      <c r="H13" s="4">
        <f>IF(OR(NOT(ISNUMBER(F13)),G13&lt;&gt;"已核验",D13="",E13="",K13="",'05_评级汇总'!$B$22="",E13&gt;'05_评级汇总'!$B$22),"",IF(F13&lt;'03_核心评分规则'!L13,1,IF(F13&lt;'03_核心评分规则'!M13,2,IF(F13&lt;'03_核心评分规则'!N13,3,IF(F13&lt;'03_核心评分规则'!O13,4,5)))))</f>
        <v/>
      </c>
      <c r="I13" s="8">
        <f>'03_核心评分规则'!J13</f>
        <v/>
      </c>
      <c r="J13" s="16">
        <f>IF(ISNUMBER(H13),H13*I13,0)</f>
        <v/>
      </c>
      <c r="K13" s="14" t="n"/>
      <c r="L13" s="14" t="inlineStr">
        <is>
          <t>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房地产开发企业资金来源增速（%）</t>
        </is>
      </c>
      <c r="D14" s="13" t="n"/>
      <c r="E14" s="13" t="n"/>
      <c r="F14" s="14" t="n"/>
      <c r="G14" s="14" t="inlineStr">
        <is>
          <t>待核验</t>
        </is>
      </c>
      <c r="H14" s="5">
        <f>IF(OR(NOT(ISNUMBER(F14)),G14&lt;&gt;"已核验",D14="",E14="",K14="",'05_评级汇总'!$B$22="",E14&gt;'05_评级汇总'!$B$22),"",IF(F14&lt;'03_核心评分规则'!L14,1,IF(F14&lt;'03_核心评分规则'!M14,2,IF(F14&lt;'03_核心评分规则'!N14,3,IF(F14&lt;'03_核心评分规则'!O14,4,5)))))</f>
        <v/>
      </c>
      <c r="I14" s="7">
        <f>'03_核心评分规则'!J14</f>
        <v/>
      </c>
      <c r="J14" s="15">
        <f>IF(ISNUMBER(H14),H14*I14,0)</f>
        <v/>
      </c>
      <c r="K14" s="14" t="n"/>
      <c r="L14" s="14" t="inlineStr">
        <is>
          <t>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固定资产投资（FAI）增速（%）</t>
        </is>
      </c>
      <c r="D15" s="13" t="n"/>
      <c r="E15" s="13" t="n"/>
      <c r="F15" s="14" t="n"/>
      <c r="G15" s="14" t="inlineStr">
        <is>
          <t>待核验</t>
        </is>
      </c>
      <c r="H15" s="4">
        <f>IF(OR(NOT(ISNUMBER(F15)),G15&lt;&gt;"已核验",D15="",E15="",K15="",'05_评级汇总'!$B$22="",E15&gt;'05_评级汇总'!$B$22),"",IF(F15&lt;'03_核心评分规则'!L15,1,IF(F15&lt;'03_核心评分规则'!M15,2,IF(F15&lt;'03_核心评分规则'!N15,3,IF(F15&lt;'03_核心评分规则'!O15,4,5)))))</f>
        <v/>
      </c>
      <c r="I15" s="8">
        <f>'03_核心评分规则'!J15</f>
        <v/>
      </c>
      <c r="J15" s="16">
        <f>IF(ISNUMBER(H15),H15*I15,0)</f>
        <v/>
      </c>
      <c r="K15" s="14" t="n"/>
      <c r="L15" s="14" t="inlineStr">
        <is>
          <t>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制造业投资增速（%）</t>
        </is>
      </c>
      <c r="D16" s="13" t="n"/>
      <c r="E16" s="13" t="n"/>
      <c r="F16" s="14" t="n"/>
      <c r="G16" s="14" t="inlineStr">
        <is>
          <t>待核验</t>
        </is>
      </c>
      <c r="H16" s="5">
        <f>IF(OR(NOT(ISNUMBER(F16)),G16&lt;&gt;"已核验",D16="",E16="",K16="",'05_评级汇总'!$B$22="",E16&gt;'05_评级汇总'!$B$22),"",IF(F16&lt;'03_核心评分规则'!L16,1,IF(F16&lt;'03_核心评分规则'!M16,2,IF(F16&lt;'03_核心评分规则'!N16,3,IF(F16&lt;'03_核心评分规则'!O16,4,5)))))</f>
        <v/>
      </c>
      <c r="I16" s="7">
        <f>'03_核心评分规则'!J16</f>
        <v/>
      </c>
      <c r="J16" s="15">
        <f>IF(ISNUMBER(H16),H16*I16,0)</f>
        <v/>
      </c>
      <c r="K16" s="14" t="n"/>
      <c r="L16" s="14" t="inlineStr">
        <is>
          <t>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民间固定资产投资增速（%）</t>
        </is>
      </c>
      <c r="D17" s="13" t="n"/>
      <c r="E17" s="13" t="n"/>
      <c r="F17" s="14" t="n"/>
      <c r="G17" s="14" t="inlineStr">
        <is>
          <t>待核验</t>
        </is>
      </c>
      <c r="H17" s="4">
        <f>IF(OR(NOT(ISNUMBER(F17)),G17&lt;&gt;"已核验",D17="",E17="",K17="",'05_评级汇总'!$B$22="",E17&gt;'05_评级汇总'!$B$22),"",IF(F17&lt;'03_核心评分规则'!L17,1,IF(F17&lt;'03_核心评分规则'!M17,2,IF(F17&lt;'03_核心评分规则'!N17,3,IF(F17&lt;'03_核心评分规则'!O17,4,5)))))</f>
        <v/>
      </c>
      <c r="I17" s="8">
        <f>'03_核心评分规则'!J17</f>
        <v/>
      </c>
      <c r="J17" s="16">
        <f>IF(ISNUMBER(H17),H17*I17,0)</f>
        <v/>
      </c>
      <c r="K17" s="14" t="n"/>
      <c r="L17" s="14" t="inlineStr">
        <is>
          <t>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社会消费品零售总额增速（%）</t>
        </is>
      </c>
      <c r="D18" s="13" t="n"/>
      <c r="E18" s="13" t="n"/>
      <c r="F18" s="14" t="n"/>
      <c r="G18" s="14" t="inlineStr">
        <is>
          <t>待核验</t>
        </is>
      </c>
      <c r="H18" s="5">
        <f>IF(OR(NOT(ISNUMBER(F18)),G18&lt;&gt;"已核验",D18="",E18="",K18="",'05_评级汇总'!$B$22="",E18&gt;'05_评级汇总'!$B$22),"",IF(F18&lt;'03_核心评分规则'!L18,1,IF(F18&lt;'03_核心评分规则'!M18,2,IF(F18&lt;'03_核心评分规则'!N18,3,IF(F18&lt;'03_核心评分规则'!O18,4,5)))))</f>
        <v/>
      </c>
      <c r="I18" s="7">
        <f>'03_核心评分规则'!J18</f>
        <v/>
      </c>
      <c r="J18" s="15">
        <f>IF(ISNUMBER(H18),H18*I18,0)</f>
        <v/>
      </c>
      <c r="K18" s="14" t="n"/>
      <c r="L18" s="14" t="inlineStr">
        <is>
          <t>当月名义同比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出口金额增速（美元计，%）</t>
        </is>
      </c>
      <c r="D19" s="13" t="n"/>
      <c r="E19" s="13" t="n"/>
      <c r="F19" s="14" t="n"/>
      <c r="G19" s="14" t="inlineStr">
        <is>
          <t>待核验</t>
        </is>
      </c>
      <c r="H19" s="4">
        <f>IF(OR(NOT(ISNUMBER(F19)),G19&lt;&gt;"已核验",D19="",E19="",K19="",'05_评级汇总'!$B$22="",E19&gt;'05_评级汇总'!$B$22),"",IF(F19&lt;'03_核心评分规则'!L19,1,IF(F19&lt;'03_核心评分规则'!M19,2,IF(F19&lt;'03_核心评分规则'!N19,3,IF(F19&lt;'03_核心评分规则'!O19,4,5)))))</f>
        <v/>
      </c>
      <c r="I19" s="8">
        <f>'03_核心评分规则'!J19</f>
        <v/>
      </c>
      <c r="J19" s="16">
        <f>IF(ISNUMBER(H19),H19*I19,0)</f>
        <v/>
      </c>
      <c r="K19" s="14" t="n"/>
      <c r="L19" s="14" t="inlineStr">
        <is>
          <t>美元计当月同比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居民中长期贷款近3月同比多增（亿元）</t>
        </is>
      </c>
      <c r="D20" s="13" t="n"/>
      <c r="E20" s="13" t="n"/>
      <c r="F20" s="14" t="n"/>
      <c r="G20" s="14" t="inlineStr">
        <is>
          <t>待核验</t>
        </is>
      </c>
      <c r="H20" s="5">
        <f>IF(OR(NOT(ISNUMBER(F20)),G20&lt;&gt;"已核验",D20="",E20="",K20="",'05_评级汇总'!$B$22="",E20&gt;'05_评级汇总'!$B$22),"",IF(F20&lt;'03_核心评分规则'!L20,1,IF(F20&lt;'03_核心评分规则'!M20,2,IF(F20&lt;'03_核心评分规则'!N20,3,IF(F20&lt;'03_核心评分规则'!O20,4,5)))))</f>
        <v/>
      </c>
      <c r="I20" s="7">
        <f>'03_核心评分规则'!J20</f>
        <v/>
      </c>
      <c r="J20" s="15">
        <f>IF(ISNUMBER(H20),H20*I20,0)</f>
        <v/>
      </c>
      <c r="K20" s="14" t="n"/>
      <c r="L20" s="14" t="inlineStr">
        <is>
          <t>派生：近3月同比多增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企业中长期贷款近3月同比多增（亿元）</t>
        </is>
      </c>
      <c r="D21" s="13" t="n"/>
      <c r="E21" s="13" t="n"/>
      <c r="F21" s="14" t="n"/>
      <c r="G21" s="14" t="inlineStr">
        <is>
          <t>待核验</t>
        </is>
      </c>
      <c r="H21" s="4">
        <f>IF(OR(NOT(ISNUMBER(F21)),G21&lt;&gt;"已核验",D21="",E21="",K21="",'05_评级汇总'!$B$22="",E21&gt;'05_评级汇总'!$B$22),"",IF(F21&lt;'03_核心评分规则'!L21,1,IF(F21&lt;'03_核心评分规则'!M21,2,IF(F21&lt;'03_核心评分规则'!N21,3,IF(F21&lt;'03_核心评分规则'!O21,4,5)))))</f>
        <v/>
      </c>
      <c r="I21" s="8">
        <f>'03_核心评分规则'!J21</f>
        <v/>
      </c>
      <c r="J21" s="16">
        <f>IF(ISNUMBER(H21),H21*I21,0)</f>
        <v/>
      </c>
      <c r="K21" s="14" t="n"/>
      <c r="L21" s="14" t="inlineStr">
        <is>
          <t>派生：近3月同比多增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社融规模存量增速（%）</t>
        </is>
      </c>
      <c r="D22" s="13" t="n"/>
      <c r="E22" s="13" t="n"/>
      <c r="F22" s="14" t="n"/>
      <c r="G22" s="14" t="inlineStr">
        <is>
          <t>待核验</t>
        </is>
      </c>
      <c r="H22" s="5">
        <f>IF(OR(NOT(ISNUMBER(F22)),G22&lt;&gt;"已核验",D22="",E22="",K22="",'05_评级汇总'!$B$22="",E22&gt;'05_评级汇总'!$B$22),"",IF(F22&lt;'03_核心评分规则'!L22,1,IF(F22&lt;'03_核心评分规则'!M22,2,IF(F22&lt;'03_核心评分规则'!N22,3,IF(F22&lt;'03_核心评分规则'!O22,4,5)))))</f>
        <v/>
      </c>
      <c r="I22" s="7">
        <f>'03_核心评分规则'!J22</f>
        <v/>
      </c>
      <c r="J22" s="15">
        <f>IF(ISNUMBER(H22),H22*I22,0)</f>
        <v/>
      </c>
      <c r="K22" s="14" t="n"/>
      <c r="L22" s="14" t="inlineStr">
        <is>
          <t>期末同比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人民币贷款存量增速（%）</t>
        </is>
      </c>
      <c r="D23" s="13" t="n"/>
      <c r="E23" s="13" t="n"/>
      <c r="F23" s="14" t="n"/>
      <c r="G23" s="14" t="inlineStr">
        <is>
          <t>待核验</t>
        </is>
      </c>
      <c r="H23" s="4">
        <f>IF(OR(NOT(ISNUMBER(F23)),G23&lt;&gt;"已核验",D23="",E23="",K23="",'05_评级汇总'!$B$22="",E23&gt;'05_评级汇总'!$B$22),"",IF(F23&lt;'03_核心评分规则'!L23,1,IF(F23&lt;'03_核心评分规则'!M23,2,IF(F23&lt;'03_核心评分规则'!N23,3,IF(F23&lt;'03_核心评分规则'!O23,4,5)))))</f>
        <v/>
      </c>
      <c r="I23" s="8">
        <f>'03_核心评分规则'!J23</f>
        <v/>
      </c>
      <c r="J23" s="16">
        <f>IF(ISNUMBER(H23),H23*I23,0)</f>
        <v/>
      </c>
      <c r="K23" s="14" t="n"/>
      <c r="L23" s="14" t="inlineStr">
        <is>
          <t>期末同比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M1-M2剪刀差</t>
        </is>
      </c>
      <c r="D24" s="13" t="n"/>
      <c r="E24" s="13" t="n"/>
      <c r="F24" s="14" t="n"/>
      <c r="G24" s="14" t="inlineStr">
        <is>
          <t>待核验</t>
        </is>
      </c>
      <c r="H24" s="5">
        <f>IF(OR(NOT(ISNUMBER(F24)),G24&lt;&gt;"已核验",D24="",E24="",K24="",'05_评级汇总'!$B$22="",E24&gt;'05_评级汇总'!$B$22),"",IF(AND(F24&gt;='03_核心评分规则'!V24,F24&lt;='03_核心评分规则'!W24),5,IF(AND(F24&gt;='03_核心评分规则'!T24,F24&lt;='03_核心评分规则'!U24),4,IF(AND(F24&gt;='03_核心评分规则'!R24,F24&lt;='03_核心评分规则'!S24),3,IF(AND(F24&gt;='03_核心评分规则'!P24,F24&lt;='03_核心评分规则'!Q24),2,1)))))</f>
        <v/>
      </c>
      <c r="I24" s="7">
        <f>'03_核心评分规则'!J24</f>
        <v/>
      </c>
      <c r="J24" s="15">
        <f>IF(ISNUMBER(H24),H24*I24,0)</f>
        <v/>
      </c>
      <c r="K24" s="14" t="n"/>
      <c r="L24" s="14" t="inlineStr">
        <is>
          <t>新口径M1同比−同月M2同比</t>
        </is>
      </c>
    </row>
  </sheetData>
  <autoFilter ref="A3:L24"/>
  <mergeCells count="2">
    <mergeCell ref="A2:L2"/>
    <mergeCell ref="A1:L1"/>
  </mergeCells>
  <conditionalFormatting sqref="H4:H24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G4:G24" showDropDown="0" showInputMessage="0" showErrorMessage="1" allowBlank="0" errorTitle="核验状态" error="请选择待核验、已核验或不可用" type="list">
      <formula1>"待核验,已核验,不可用"</formula1>
    </dataValidation>
    <dataValidation sqref="F4:F24" showDropDown="0" showInputMessage="0" showErrorMessage="0" allowBlank="1" type="decimal" operator="between">
      <formula1>-1000000</formula1>
      <formula2>1000000</formula2>
    </dataValidation>
  </dataValidation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6" customWidth="1" min="2" max="2"/>
    <col width="19" customWidth="1" min="3" max="3"/>
    <col width="15" customWidth="1" min="4" max="4"/>
    <col width="17" customWidth="1" min="5" max="5"/>
    <col width="22" customWidth="1" min="6" max="6"/>
    <col width="20" customWidth="1" min="7" max="7"/>
  </cols>
  <sheetData>
    <row r="1" ht="42" customHeight="1">
      <c r="A1" s="1" t="inlineStr">
        <is>
          <t>基本面分 + 政策分 → 四支柱总评级</t>
        </is>
      </c>
    </row>
    <row r="2" ht="32" customHeight="1">
      <c r="A2" s="2" t="inlineStr">
        <is>
          <t>总评级观察未来一季宏观投资环境；未核验权重不填中性分。观察分仅供分析，全覆盖时才给正式档位。</t>
        </is>
      </c>
    </row>
    <row r="3" ht="30" customHeight="1">
      <c r="A3" s="3" t="inlineStr">
        <is>
          <t>一级支柱</t>
        </is>
      </c>
      <c r="B3" s="3" t="inlineStr">
        <is>
          <t>固定权重</t>
        </is>
      </c>
      <c r="C3" s="3" t="inlineStr">
        <is>
          <t>已核验权重</t>
        </is>
      </c>
      <c r="D3" s="3" t="inlineStr">
        <is>
          <t>覆盖率</t>
        </is>
      </c>
      <c r="E3" s="3" t="inlineStr">
        <is>
          <t>有效贡献</t>
        </is>
      </c>
      <c r="F3" s="3" t="inlineStr">
        <is>
          <t>已覆盖项观察分</t>
        </is>
      </c>
      <c r="G3" s="3" t="inlineStr">
        <is>
          <t>支柱门槛</t>
        </is>
      </c>
    </row>
    <row r="4" ht="42" customHeight="1">
      <c r="A4" s="5" t="inlineStr">
        <is>
          <t>经济运行</t>
        </is>
      </c>
      <c r="B4" s="11">
        <f>'01_权重配置'!B4</f>
        <v/>
      </c>
      <c r="C4" s="11">
        <f>SUMIFS('04_本期录入'!$I$4:$I$24,'04_本期录入'!$B$4:$B$24,A4,'04_本期录入'!$H$4:$H$24,"&gt;=1")</f>
        <v/>
      </c>
      <c r="D4" s="11">
        <f>IFERROR(C4/B4,0)</f>
        <v/>
      </c>
      <c r="E4" s="17">
        <f>SUMIF('04_本期录入'!$B$4:$B$24,A4,'04_本期录入'!$J$4:$J$24)</f>
        <v/>
      </c>
      <c r="F4" s="17">
        <f>IF(C4=0,"",E4/C4)</f>
        <v/>
      </c>
      <c r="G4" s="5">
        <f>IF(D4&gt;='01_权重配置'!$B$13,"通过","不足")</f>
        <v/>
      </c>
    </row>
    <row r="5" ht="42" customHeight="1">
      <c r="A5" s="4" t="inlineStr">
        <is>
          <t>增长动力</t>
        </is>
      </c>
      <c r="B5" s="12">
        <f>'01_权重配置'!B5</f>
        <v/>
      </c>
      <c r="C5" s="12">
        <f>SUMIFS('04_本期录入'!$I$4:$I$24,'04_本期录入'!$B$4:$B$24,A5,'04_本期录入'!$H$4:$H$24,"&gt;=1")</f>
        <v/>
      </c>
      <c r="D5" s="12">
        <f>IFERROR(C5/B5,0)</f>
        <v/>
      </c>
      <c r="E5" s="18">
        <f>SUMIF('04_本期录入'!$B$4:$B$24,A5,'04_本期录入'!$J$4:$J$24)</f>
        <v/>
      </c>
      <c r="F5" s="18">
        <f>IF(C5=0,"",E5/C5)</f>
        <v/>
      </c>
      <c r="G5" s="4">
        <f>IF(D5&gt;='01_权重配置'!$B$13,"通过","不足")</f>
        <v/>
      </c>
    </row>
    <row r="6" ht="42" customHeight="1">
      <c r="A6" s="5" t="inlineStr">
        <is>
          <t>金融信贷</t>
        </is>
      </c>
      <c r="B6" s="11">
        <f>'01_权重配置'!B6</f>
        <v/>
      </c>
      <c r="C6" s="11">
        <f>SUMIFS('04_本期录入'!$I$4:$I$24,'04_本期录入'!$B$4:$B$24,A6,'04_本期录入'!$H$4:$H$24,"&gt;=1")</f>
        <v/>
      </c>
      <c r="D6" s="11">
        <f>IFERROR(C6/B6,0)</f>
        <v/>
      </c>
      <c r="E6" s="17">
        <f>SUMIF('04_本期录入'!$B$4:$B$24,A6,'04_本期录入'!$J$4:$J$24)</f>
        <v/>
      </c>
      <c r="F6" s="17">
        <f>IF(C6=0,"",E6/C6)</f>
        <v/>
      </c>
      <c r="G6" s="5">
        <f>IF(D6&gt;='01_权重配置'!$B$13,"通过","不足")</f>
        <v/>
      </c>
    </row>
    <row r="7" ht="42" customHeight="1">
      <c r="A7" s="4" t="inlineStr">
        <is>
          <t>宏观调控</t>
        </is>
      </c>
      <c r="B7" s="12">
        <f>'01_权重配置'!B7</f>
        <v/>
      </c>
      <c r="C7" s="12">
        <f>SUMIFS('06_政策评分录入'!$L$4:$L$7,'06_政策评分录入'!$K$4:$K$7,"&gt;=1")</f>
        <v/>
      </c>
      <c r="D7" s="12">
        <f>IFERROR(C7/B7,0)</f>
        <v/>
      </c>
      <c r="E7" s="18">
        <f>SUM('06_政策评分录入'!$M$4:$M$7)</f>
        <v/>
      </c>
      <c r="F7" s="18">
        <f>IF(C7=0,"",E7/C7)</f>
        <v/>
      </c>
      <c r="G7" s="4">
        <f>IF(D7&gt;='01_权重配置'!$B$13,"通过","不足")</f>
        <v/>
      </c>
    </row>
    <row r="8" ht="42" customHeight="1">
      <c r="A8" s="5" t="inlineStr">
        <is>
          <t>四支柱合计</t>
        </is>
      </c>
      <c r="B8" s="11">
        <f>SUM(B4:B7)</f>
        <v/>
      </c>
      <c r="C8" s="11">
        <f>SUM(C4:C7)</f>
        <v/>
      </c>
      <c r="D8" s="11">
        <f>IFERROR(C8/B8,0)</f>
        <v/>
      </c>
      <c r="E8" s="17">
        <f>SUM(E4:E7)</f>
        <v/>
      </c>
      <c r="F8" s="17">
        <f>IF(C8=0,"",E8/C8)</f>
        <v/>
      </c>
      <c r="G8" s="5">
        <f>IF(ROUND(D8,6)&gt;='01_权重配置'!$B$14,"正式",IF(AND(D8&gt;='01_权重配置'!$B$12,COUNTIF(G4:G7,"通过")=4),"暂定","覆盖不足"))</f>
        <v/>
      </c>
    </row>
    <row r="10">
      <c r="A10" s="19" t="inlineStr">
        <is>
          <t>当前基本面观察分</t>
        </is>
      </c>
      <c r="B10" s="20">
        <f>IF(SUM(C4:C6)=0,"",SUM(E4:E6)/SUM(C4:C6))</f>
        <v/>
      </c>
    </row>
    <row r="11">
      <c r="A11" s="19" t="inlineStr">
        <is>
          <t>政策观察分</t>
        </is>
      </c>
      <c r="B11" s="20">
        <f>F7</f>
        <v/>
      </c>
    </row>
    <row r="12">
      <c r="A12" s="19" t="inlineStr">
        <is>
          <t>四支柱已覆盖观察分</t>
        </is>
      </c>
      <c r="B12" s="20">
        <f>F8</f>
        <v/>
      </c>
    </row>
    <row r="13">
      <c r="A13" s="19" t="inlineStr">
        <is>
          <t>评级状态</t>
        </is>
      </c>
      <c r="B13" s="21">
        <f>G8</f>
        <v/>
      </c>
    </row>
    <row r="14">
      <c r="A14" s="19" t="inlineStr">
        <is>
          <t>正式四支柱得分</t>
        </is>
      </c>
      <c r="B14" s="20">
        <f>IF(G8="正式",E8,"")</f>
        <v/>
      </c>
    </row>
    <row r="15">
      <c r="A15" s="19" t="inlineStr">
        <is>
          <t>正式档位</t>
        </is>
      </c>
      <c r="B15" s="21">
        <f>IF(B14="","覆盖不足，不定正式档",IF(B14&gt;=4.2,"I档 强复苏",IF(B14&gt;=3.4,"II档 温和改善",IF(B14&gt;=2.6,"III档 中性平稳",IF(B14&gt;=1.8,"IV档 偏弱承压","V档 明显下行")))))</f>
        <v/>
      </c>
    </row>
    <row r="17">
      <c r="A17" s="19" t="inlineStr">
        <is>
          <t>未核验最差边界</t>
        </is>
      </c>
      <c r="B17" s="20">
        <f>E8+(1-C8)*1</f>
        <v/>
      </c>
    </row>
    <row r="18">
      <c r="A18" s="19" t="inlineStr">
        <is>
          <t>未核验最好边界</t>
        </is>
      </c>
      <c r="B18" s="20">
        <f>E8+(1-C8)*5</f>
        <v/>
      </c>
    </row>
    <row r="20" ht="54" customHeight="1">
      <c r="A20" t="inlineStr">
        <is>
          <t>口径说明</t>
        </is>
      </c>
      <c r="B20" t="inlineStr">
        <is>
          <t>四支柱权重固定30/25/25/20；政策结果只在前三支柱验证，避免双计。观察分按已覆盖权重归一，仅作诊断；85%为暂定门槛，100%才形成同版本可比较的正式分。</t>
        </is>
      </c>
    </row>
    <row r="22">
      <c r="A22" t="inlineStr">
        <is>
          <t>信息截止日（必填）</t>
        </is>
      </c>
      <c r="B22" s="22" t="n"/>
    </row>
    <row r="23" ht="36" customHeight="1">
      <c r="A23" t="inlineStr">
        <is>
          <t>数据截断规则</t>
        </is>
      </c>
      <c r="B23" t="inlineStr">
        <is>
          <t>发布日期晚于信息截止日的数据不计分；历史评级保留当时可获得的原始版本。</t>
        </is>
      </c>
    </row>
  </sheetData>
  <mergeCells count="4">
    <mergeCell ref="B20:G20"/>
    <mergeCell ref="A2:G2"/>
    <mergeCell ref="A1:G1"/>
    <mergeCell ref="B23:G23"/>
  </mergeCells>
  <conditionalFormatting sqref="D4:D7">
    <cfRule type="cellIs" priority="1" operator="lessThan" dxfId="0">
      <formula>0.7</formula>
    </cfRule>
  </conditionalFormatting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N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58" customWidth="1" min="9" max="9"/>
    <col width="73" customWidth="1" min="10" max="10"/>
    <col width="18" customWidth="1" min="11" max="11"/>
    <col width="17" customWidth="1" min="12" max="12"/>
    <col width="16" customWidth="1" min="13" max="13"/>
    <col width="47" customWidth="1" min="14" max="14"/>
  </cols>
  <sheetData>
    <row r="1" ht="42" customHeight="1">
      <c r="A1" s="1" t="inlineStr">
        <is>
          <t>宏观调控评分｜正式信号 → 资源工具 → 执行</t>
        </is>
      </c>
    </row>
    <row r="2" ht="32" customHeight="1">
      <c r="A2" s="2" t="inlineStr">
        <is>
          <t>每类选截至评价日仍有效且最能代表政策方向的正式事项；仅表态原则上最多3分。市场利率点位和财政赤字绝对值不直接映射分数。</t>
        </is>
      </c>
    </row>
    <row r="3" ht="30" customHeight="1">
      <c r="A3" s="3" t="inlineStr">
        <is>
          <t>政策类别</t>
        </is>
      </c>
      <c r="B3" s="3" t="inlineStr">
        <is>
          <t>类别内权重</t>
        </is>
      </c>
      <c r="C3" s="3" t="inlineStr">
        <is>
          <t>未来一季方向</t>
        </is>
      </c>
      <c r="D3" s="3" t="inlineStr">
        <is>
          <t>正式信号</t>
        </is>
      </c>
      <c r="E3" s="3" t="inlineStr">
        <is>
          <t>资源/工具</t>
        </is>
      </c>
      <c r="F3" s="3" t="inlineStr">
        <is>
          <t>已执行</t>
        </is>
      </c>
      <c r="G3" s="3" t="inlineStr">
        <is>
          <t>核验状态</t>
        </is>
      </c>
      <c r="H3" s="3" t="inlineStr">
        <is>
          <t>发布日期</t>
        </is>
      </c>
      <c r="I3" s="3" t="inlineStr">
        <is>
          <t>官方原文链接</t>
        </is>
      </c>
      <c r="J3" s="3" t="inlineStr">
        <is>
          <t>事实/判断/有效性说明</t>
        </is>
      </c>
      <c r="K3" s="3" t="inlineStr">
        <is>
          <t>自动政策分</t>
        </is>
      </c>
      <c r="L3" s="3" t="inlineStr">
        <is>
          <t>固定总权重</t>
        </is>
      </c>
      <c r="M3" s="3" t="inlineStr">
        <is>
          <t>得分贡献</t>
        </is>
      </c>
      <c r="N3" s="3" t="inlineStr">
        <is>
          <t>待验证指标</t>
        </is>
      </c>
    </row>
    <row r="4" ht="42" customHeight="1">
      <c r="A4" s="5" t="inlineStr">
        <is>
          <t>财政政策</t>
        </is>
      </c>
      <c r="B4" s="23" t="n">
        <v>0.3</v>
      </c>
      <c r="C4" s="14" t="inlineStr">
        <is>
          <t>待判断</t>
        </is>
      </c>
      <c r="D4" s="14" t="inlineStr">
        <is>
          <t>未确认</t>
        </is>
      </c>
      <c r="E4" s="14" t="inlineStr">
        <is>
          <t>未明确</t>
        </is>
      </c>
      <c r="F4" s="14" t="inlineStr">
        <is>
          <t>未执行</t>
        </is>
      </c>
      <c r="G4" s="14" t="inlineStr">
        <is>
          <t>待核验</t>
        </is>
      </c>
      <c r="H4" s="13" t="n"/>
      <c r="I4" s="14" t="n"/>
      <c r="J4" s="14" t="n"/>
      <c r="K4" s="5">
        <f>IF(OR(G4&lt;&gt;"已核验",H4="",I4="",C4="待判断",D4&lt;&gt;"正式",'05_评级汇总'!$B$22="",H4&gt;'05_评级汇总'!$B$22),"",IF(C4="中性",3,IF(C4="支持",IF(AND(E4="已明确",F4="已执行"),5,IF(E4="已明确",4,3)),IF(C4="约束",IF(F4="已执行",1,2),""))))</f>
        <v/>
      </c>
      <c r="L4" s="11">
        <f>B4*'01_权重配置'!$B$7</f>
        <v/>
      </c>
      <c r="M4" s="5">
        <f>IF(ISNUMBER(K4),K4*L4,0)</f>
        <v/>
      </c>
      <c r="N4" s="14" t="inlineStr">
        <is>
          <t>预算执行、项目实物量、居民需求</t>
        </is>
      </c>
    </row>
    <row r="5" ht="42" customHeight="1">
      <c r="A5" s="4" t="inlineStr">
        <is>
          <t>货币政策</t>
        </is>
      </c>
      <c r="B5" s="24" t="n">
        <v>0.3</v>
      </c>
      <c r="C5" s="14" t="inlineStr">
        <is>
          <t>待判断</t>
        </is>
      </c>
      <c r="D5" s="14" t="inlineStr">
        <is>
          <t>未确认</t>
        </is>
      </c>
      <c r="E5" s="14" t="inlineStr">
        <is>
          <t>未明确</t>
        </is>
      </c>
      <c r="F5" s="14" t="inlineStr">
        <is>
          <t>未执行</t>
        </is>
      </c>
      <c r="G5" s="14" t="inlineStr">
        <is>
          <t>待核验</t>
        </is>
      </c>
      <c r="H5" s="13" t="n"/>
      <c r="I5" s="14" t="n"/>
      <c r="J5" s="14" t="n"/>
      <c r="K5" s="4">
        <f>IF(OR(G5&lt;&gt;"已核验",H5="",I5="",C5="待判断",D5&lt;&gt;"正式",'05_评级汇总'!$B$22="",H5&gt;'05_评级汇总'!$B$22),"",IF(C5="中性",3,IF(C5="支持",IF(AND(E5="已明确",F5="已执行"),5,IF(E5="已明确",4,3)),IF(C5="约束",IF(F5="已执行",1,2),""))))</f>
        <v/>
      </c>
      <c r="L5" s="12">
        <f>B5*'01_权重配置'!$B$7</f>
        <v/>
      </c>
      <c r="M5" s="4">
        <f>IF(ISNUMBER(K5),K5*L5,0)</f>
        <v/>
      </c>
      <c r="N5" s="14" t="inlineStr">
        <is>
          <t>融资成本、企业中长贷、信用结构</t>
        </is>
      </c>
    </row>
    <row r="6" ht="42" customHeight="1">
      <c r="A6" s="5" t="inlineStr">
        <is>
          <t>产业政策</t>
        </is>
      </c>
      <c r="B6" s="23" t="n">
        <v>0.2</v>
      </c>
      <c r="C6" s="14" t="inlineStr">
        <is>
          <t>待判断</t>
        </is>
      </c>
      <c r="D6" s="14" t="inlineStr">
        <is>
          <t>未确认</t>
        </is>
      </c>
      <c r="E6" s="14" t="inlineStr">
        <is>
          <t>未明确</t>
        </is>
      </c>
      <c r="F6" s="14" t="inlineStr">
        <is>
          <t>未执行</t>
        </is>
      </c>
      <c r="G6" s="14" t="inlineStr">
        <is>
          <t>待核验</t>
        </is>
      </c>
      <c r="H6" s="13" t="n"/>
      <c r="I6" s="14" t="n"/>
      <c r="J6" s="14" t="n"/>
      <c r="K6" s="5">
        <f>IF(OR(G6&lt;&gt;"已核验",H6="",I6="",C6="待判断",D6&lt;&gt;"正式",'05_评级汇总'!$B$22="",H6&gt;'05_评级汇总'!$B$22),"",IF(C6="中性",3,IF(C6="支持",IF(AND(E6="已明确",F6="已执行"),5,IF(E6="已明确",4,3)),IF(C6="约束",IF(F6="已执行",1,2),""))))</f>
        <v/>
      </c>
      <c r="L6" s="11">
        <f>B6*'01_权重配置'!$B$7</f>
        <v/>
      </c>
      <c r="M6" s="5">
        <f>IF(ISNUMBER(K6),K6*L6,0)</f>
        <v/>
      </c>
      <c r="N6" s="14" t="inlineStr">
        <is>
          <t>产能治理、订单、行业价格与盈利</t>
        </is>
      </c>
    </row>
    <row r="7" ht="42" customHeight="1">
      <c r="A7" s="4" t="inlineStr">
        <is>
          <t>制度建设</t>
        </is>
      </c>
      <c r="B7" s="24" t="n">
        <v>0.2</v>
      </c>
      <c r="C7" s="14" t="inlineStr">
        <is>
          <t>待判断</t>
        </is>
      </c>
      <c r="D7" s="14" t="inlineStr">
        <is>
          <t>未确认</t>
        </is>
      </c>
      <c r="E7" s="14" t="inlineStr">
        <is>
          <t>未明确</t>
        </is>
      </c>
      <c r="F7" s="14" t="inlineStr">
        <is>
          <t>未执行</t>
        </is>
      </c>
      <c r="G7" s="14" t="inlineStr">
        <is>
          <t>待核验</t>
        </is>
      </c>
      <c r="H7" s="13" t="n"/>
      <c r="I7" s="14" t="n"/>
      <c r="J7" s="14" t="n"/>
      <c r="K7" s="4">
        <f>IF(OR(G7&lt;&gt;"已核验",H7="",I7="",C7="待判断",D7&lt;&gt;"正式",'05_评级汇总'!$B$22="",H7&gt;'05_评级汇总'!$B$22),"",IF(C7="中性",3,IF(C7="支持",IF(AND(E7="已明确",F7="已执行"),5,IF(E7="已明确",4,3)),IF(C7="约束",IF(F7="已执行",1,2),""))))</f>
        <v/>
      </c>
      <c r="L7" s="12">
        <f>B7*'01_权重配置'!$B$7</f>
        <v/>
      </c>
      <c r="M7" s="4">
        <f>IF(ISNUMBER(K7),K7*L7,0)</f>
        <v/>
      </c>
      <c r="N7" s="14" t="inlineStr">
        <is>
          <t>法规生效、执行细则、市场主体反馈</t>
        </is>
      </c>
    </row>
  </sheetData>
  <mergeCells count="2">
    <mergeCell ref="A2:N2"/>
    <mergeCell ref="A1:N1"/>
  </mergeCells>
  <dataValidations count="5">
    <dataValidation sqref="C4:C7" showDropDown="0" showInputMessage="0" showErrorMessage="1" allowBlank="0" type="list">
      <formula1>"待判断,支持,中性,约束"</formula1>
    </dataValidation>
    <dataValidation sqref="D4:D7" showDropDown="0" showInputMessage="0" showErrorMessage="1" allowBlank="0" type="list">
      <formula1>"未确认,正式"</formula1>
    </dataValidation>
    <dataValidation sqref="E4:E7" showDropDown="0" showInputMessage="0" showErrorMessage="1" allowBlank="0" type="list">
      <formula1>"未明确,已明确"</formula1>
    </dataValidation>
    <dataValidation sqref="F4:F7" showDropDown="0" showInputMessage="0" showErrorMessage="1" allowBlank="0" type="list">
      <formula1>"未执行,已执行"</formula1>
    </dataValidation>
    <dataValidation sqref="G4:G7" showDropDown="0" showInputMessage="0" showErrorMessage="1" allowBlank="0" type="list">
      <formula1>"待核验,已核验,不可用"</formula1>
    </dataValidation>
  </dataValidation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65" customWidth="1" min="3" max="3"/>
    <col width="58" customWidth="1" min="4" max="4"/>
    <col width="54" customWidth="1" min="5" max="5"/>
  </cols>
  <sheetData>
    <row r="1" ht="42" customHeight="1">
      <c r="A1" s="1" t="inlineStr">
        <is>
          <t>宏观调控五档评分细则</t>
        </is>
      </c>
    </row>
    <row r="2" ht="32" customHeight="1">
      <c r="A2" s="2" t="inlineStr">
        <is>
          <t>四类政策各自形成净方向判断；同类多项政策先进入事件台账，再选截至评价日仍有效的主导证据。政策效果不在此处重复计分。</t>
        </is>
      </c>
    </row>
    <row r="3" ht="30" customHeight="1">
      <c r="A3" s="3" t="inlineStr">
        <is>
          <t>得分</t>
        </is>
      </c>
      <c r="B3" s="3" t="inlineStr">
        <is>
          <t>适用情形</t>
        </is>
      </c>
      <c r="C3" s="3" t="inlineStr">
        <is>
          <t>必须具备的可核验证据</t>
        </is>
      </c>
      <c r="D3" s="3" t="inlineStr">
        <is>
          <t>不能据此加分的情形</t>
        </is>
      </c>
      <c r="E3" s="3" t="inlineStr">
        <is>
          <t>记录要求</t>
        </is>
      </c>
    </row>
    <row r="4" ht="42" customHeight="1">
      <c r="A4" s="5" t="n">
        <v>5</v>
      </c>
      <c r="B4" s="5" t="inlineStr">
        <is>
          <t>未来一季明确支持；资源与工具明确且已执行</t>
        </is>
      </c>
      <c r="C4" s="5" t="inlineStr">
        <is>
          <t>正式政策原文、预算/操作/细则与已执行证据</t>
        </is>
      </c>
      <c r="D4" s="5" t="inlineStr">
        <is>
          <t>结果已经出现在消费/投资/信用里不再在政策项追加</t>
        </is>
      </c>
      <c r="E4" s="5" t="inlineStr">
        <is>
          <t>填写官方链接、发布日期、事实和研究方向</t>
        </is>
      </c>
    </row>
    <row r="5" ht="42" customHeight="1">
      <c r="A5" s="4" t="n">
        <v>4</v>
      </c>
      <c r="B5" s="4" t="inlineStr">
        <is>
          <t>未来一季明确支持；资源与工具已明确，执行待验证</t>
        </is>
      </c>
      <c r="C5" s="4" t="inlineStr">
        <is>
          <t>正式文件和明确的预算、政策工具或规则</t>
        </is>
      </c>
      <c r="D5" s="4" t="inlineStr">
        <is>
          <t>只有会议表态或市场传闻</t>
        </is>
      </c>
      <c r="E5" s="4" t="inlineStr">
        <is>
          <t>下一次跟踪执行节点</t>
        </is>
      </c>
    </row>
    <row r="6" ht="42" customHeight="1">
      <c r="A6" s="5" t="n">
        <v>3</v>
      </c>
      <c r="B6" s="5" t="inlineStr">
        <is>
          <t>正式支持信号但资源未明确，或正式中性政策</t>
        </is>
      </c>
      <c r="C6" s="5" t="inlineStr">
        <is>
          <t>正式会议通稿或政策文件</t>
        </is>
      </c>
      <c r="D6" s="5" t="inlineStr">
        <is>
          <t>未经证实的预告、空泛的政策预期</t>
        </is>
      </c>
      <c r="E6" s="5" t="inlineStr">
        <is>
          <t>支持方向需说明传导渠道与约束</t>
        </is>
      </c>
    </row>
    <row r="7" ht="42" customHeight="1">
      <c r="A7" s="4" t="n">
        <v>2</v>
      </c>
      <c r="B7" s="4" t="inlineStr">
        <is>
          <t>正式政策对未来一季形成净约束，尚未执行</t>
        </is>
      </c>
      <c r="C7" s="4" t="inlineStr">
        <is>
          <t>正式文件和明确的适用范围</t>
        </is>
      </c>
      <c r="D7" s="4" t="inlineStr">
        <is>
          <t>把供给侧治理对个别行业的利好直接当成总量利好</t>
        </is>
      </c>
      <c r="E7" s="4" t="inlineStr">
        <is>
          <t>说明受影响部门与时滞</t>
        </is>
      </c>
    </row>
    <row r="8" ht="42" customHeight="1">
      <c r="A8" s="5" t="n">
        <v>1</v>
      </c>
      <c r="B8" s="5" t="inlineStr">
        <is>
          <t>对未来一季形成净约束且已执行</t>
        </is>
      </c>
      <c r="C8" s="5" t="inlineStr">
        <is>
          <t>正式文件及执行证据</t>
        </is>
      </c>
      <c r="D8" s="5" t="inlineStr">
        <is>
          <t>单一行业事件不代表全局</t>
        </is>
      </c>
      <c r="E8" s="5" t="inlineStr">
        <is>
          <t>记录执行时间与风险缓释安排</t>
        </is>
      </c>
    </row>
    <row r="9" ht="42" customHeight="1">
      <c r="A9" s="4" t="inlineStr">
        <is>
          <t>空白</t>
        </is>
      </c>
      <c r="B9" s="4" t="inlineStr">
        <is>
          <t>没有可靠的正式信息或方向暂不可判</t>
        </is>
      </c>
      <c r="C9" s="4" t="inlineStr">
        <is>
          <t>核验状态为待核验，评分公式保持空白</t>
        </is>
      </c>
      <c r="D9" s="4" t="inlineStr">
        <is>
          <t>不得把缺信息自动填为3分</t>
        </is>
      </c>
      <c r="E9" s="4" t="inlineStr">
        <is>
          <t>到下一期继续跟踪</t>
        </is>
      </c>
    </row>
    <row r="11" ht="48" customHeight="1">
      <c r="A11" s="6" t="inlineStr">
        <is>
          <t>正式信号是必要条件，不等于政策已经兑现。财政/货币更偏近一季，产业/制度可能跨多个季度；若其主要效果不在下一季，应降低方向判断把握度并在事件台账写清时滞。</t>
        </is>
      </c>
    </row>
    <row r="13" ht="45" customHeight="1">
      <c r="A13" s="6" t="inlineStr">
        <is>
          <t>类别权重财政30%/货币30%/产业20%/制度20%及外层政策20%均为试行研究建议，不能临时改权重；正式使用前比较政策权重15%/20%/25%的历史预测表现。</t>
        </is>
      </c>
    </row>
    <row r="15" ht="45" customHeight="1">
      <c r="A15" s="6" t="inlineStr">
        <is>
          <t>“支持/中性/约束”是对未来一季宏观投资环境的净判断，不等同于宽松/收紧。即使已经执行，规模很小或覆盖很窄的政策也应判为中性，不能机械给5分；供给侧治理须同时说明受益与受损部门。</t>
        </is>
      </c>
    </row>
  </sheetData>
  <mergeCells count="5">
    <mergeCell ref="A2:E2"/>
    <mergeCell ref="A15:E15"/>
    <mergeCell ref="A11:E11"/>
    <mergeCell ref="A1:E1"/>
    <mergeCell ref="A13:E13"/>
  </mergeCell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J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1" customWidth="1" min="4" max="4"/>
    <col width="55" customWidth="1" min="5" max="5"/>
    <col width="68" customWidth="1" min="6" max="6"/>
    <col width="45" customWidth="1" min="7" max="7"/>
    <col width="57" customWidth="1" min="8" max="8"/>
    <col width="48" customWidth="1" min="9" max="9"/>
    <col width="60" customWidth="1" min="10" max="10"/>
  </cols>
  <sheetData>
    <row r="1" ht="42" customHeight="1">
      <c r="A1" s="1" t="inlineStr">
        <is>
          <t>政策事件台账｜证据与投研传导</t>
        </is>
      </c>
    </row>
    <row r="2" ht="32" customHeight="1">
      <c r="A2" s="2" t="inlineStr">
        <is>
          <t>逐次追加正式事项；事实、研究判断与待验证传导分栏。季度评分只引用截至评价日正式发布且仍有效的证据。</t>
        </is>
      </c>
    </row>
    <row r="3" ht="30" customHeight="1">
      <c r="A3" s="3" t="inlineStr">
        <is>
          <t>政策类别</t>
        </is>
      </c>
      <c r="B3" s="3" t="inlineStr">
        <is>
          <t>事项/文件</t>
        </is>
      </c>
      <c r="C3" s="3" t="inlineStr">
        <is>
          <t>发布日期</t>
        </is>
      </c>
      <c r="D3" s="3" t="inlineStr">
        <is>
          <t>生效/执行期</t>
        </is>
      </c>
      <c r="E3" s="3" t="inlineStr">
        <is>
          <t>官方原文链接</t>
        </is>
      </c>
      <c r="F3" s="3" t="inlineStr">
        <is>
          <t>官方事实</t>
        </is>
      </c>
      <c r="G3" s="3" t="inlineStr">
        <is>
          <t>政策方向（研究归纳）</t>
        </is>
      </c>
      <c r="H3" s="3" t="inlineStr">
        <is>
          <t>资源与执行证据</t>
        </is>
      </c>
      <c r="I3" s="3" t="inlineStr">
        <is>
          <t>传导指标/观察期</t>
        </is>
      </c>
      <c r="J3" s="3" t="inlineStr">
        <is>
          <t>投资映射（待验证）</t>
        </is>
      </c>
    </row>
    <row r="4" ht="42" customHeight="1">
      <c r="A4" s="5" t="inlineStr">
        <is>
          <t>财政政策</t>
        </is>
      </c>
      <c r="B4" s="14" t="n"/>
      <c r="C4" s="13" t="n"/>
      <c r="D4" s="14" t="n"/>
      <c r="E4" s="14" t="n"/>
      <c r="F4" s="14" t="n"/>
      <c r="G4" s="14" t="n"/>
      <c r="H4" s="14" t="n"/>
      <c r="I4" s="14" t="n"/>
      <c r="J4" s="14" t="n"/>
    </row>
    <row r="5" ht="42" customHeight="1">
      <c r="A5" s="4" t="inlineStr">
        <is>
          <t>货币政策</t>
        </is>
      </c>
      <c r="B5" s="14" t="n"/>
      <c r="C5" s="13" t="n"/>
      <c r="D5" s="14" t="n"/>
      <c r="E5" s="14" t="n"/>
      <c r="F5" s="14" t="n"/>
      <c r="G5" s="14" t="n"/>
      <c r="H5" s="14" t="n"/>
      <c r="I5" s="14" t="n"/>
      <c r="J5" s="14" t="n"/>
    </row>
    <row r="6" ht="42" customHeight="1">
      <c r="A6" s="5" t="inlineStr">
        <is>
          <t>产业政策</t>
        </is>
      </c>
      <c r="B6" s="14" t="n"/>
      <c r="C6" s="13" t="n"/>
      <c r="D6" s="14" t="n"/>
      <c r="E6" s="14" t="n"/>
      <c r="F6" s="14" t="n"/>
      <c r="G6" s="14" t="n"/>
      <c r="H6" s="14" t="n"/>
      <c r="I6" s="14" t="n"/>
      <c r="J6" s="14" t="n"/>
    </row>
    <row r="7" ht="42" customHeight="1">
      <c r="A7" s="4" t="inlineStr">
        <is>
          <t>制度建设</t>
        </is>
      </c>
      <c r="B7" s="14" t="n"/>
      <c r="C7" s="13" t="n"/>
      <c r="D7" s="14" t="n"/>
      <c r="E7" s="14" t="n"/>
      <c r="F7" s="14" t="n"/>
      <c r="G7" s="14" t="n"/>
      <c r="H7" s="14" t="n"/>
      <c r="I7" s="14" t="n"/>
      <c r="J7" s="14" t="n"/>
    </row>
    <row r="8" ht="42" customHeight="1">
      <c r="A8" s="5" t="n"/>
      <c r="B8" s="14" t="n"/>
      <c r="C8" s="13" t="n"/>
      <c r="D8" s="14" t="n"/>
      <c r="E8" s="14" t="n"/>
      <c r="F8" s="14" t="n"/>
      <c r="G8" s="14" t="n"/>
      <c r="H8" s="14" t="n"/>
      <c r="I8" s="14" t="n"/>
      <c r="J8" s="14" t="n"/>
    </row>
    <row r="9" ht="42" customHeight="1">
      <c r="A9" s="4" t="n"/>
      <c r="B9" s="14" t="n"/>
      <c r="C9" s="13" t="n"/>
      <c r="D9" s="14" t="n"/>
      <c r="E9" s="14" t="n"/>
      <c r="F9" s="14" t="n"/>
      <c r="G9" s="14" t="n"/>
      <c r="H9" s="14" t="n"/>
      <c r="I9" s="14" t="n"/>
      <c r="J9" s="14" t="n"/>
    </row>
    <row r="10" ht="42" customHeight="1">
      <c r="A10" s="5" t="n"/>
      <c r="B10" s="14" t="n"/>
      <c r="C10" s="13" t="n"/>
      <c r="D10" s="14" t="n"/>
      <c r="E10" s="14" t="n"/>
      <c r="F10" s="14" t="n"/>
      <c r="G10" s="14" t="n"/>
      <c r="H10" s="14" t="n"/>
      <c r="I10" s="14" t="n"/>
      <c r="J10" s="14" t="n"/>
    </row>
    <row r="11" ht="42" customHeight="1">
      <c r="A11" s="4" t="n"/>
      <c r="B11" s="14" t="n"/>
      <c r="C11" s="13" t="n"/>
      <c r="D11" s="14" t="n"/>
      <c r="E11" s="14" t="n"/>
      <c r="F11" s="14" t="n"/>
      <c r="G11" s="14" t="n"/>
      <c r="H11" s="14" t="n"/>
      <c r="I11" s="14" t="n"/>
      <c r="J11" s="14" t="n"/>
    </row>
    <row r="12" ht="42" customHeight="1">
      <c r="A12" s="5" t="n"/>
      <c r="B12" s="14" t="n"/>
      <c r="C12" s="13" t="n"/>
      <c r="D12" s="14" t="n"/>
      <c r="E12" s="14" t="n"/>
      <c r="F12" s="14" t="n"/>
      <c r="G12" s="14" t="n"/>
      <c r="H12" s="14" t="n"/>
      <c r="I12" s="14" t="n"/>
      <c r="J12" s="14" t="n"/>
    </row>
    <row r="13" ht="42" customHeight="1">
      <c r="A13" s="4" t="n"/>
      <c r="B13" s="14" t="n"/>
      <c r="C13" s="13" t="n"/>
      <c r="D13" s="14" t="n"/>
      <c r="E13" s="14" t="n"/>
      <c r="F13" s="14" t="n"/>
      <c r="G13" s="14" t="n"/>
      <c r="H13" s="14" t="n"/>
      <c r="I13" s="14" t="n"/>
      <c r="J13" s="14" t="n"/>
    </row>
    <row r="14" ht="42" customHeight="1">
      <c r="A14" s="5" t="n"/>
      <c r="B14" s="14" t="n"/>
      <c r="C14" s="13" t="n"/>
      <c r="D14" s="14" t="n"/>
      <c r="E14" s="14" t="n"/>
      <c r="F14" s="14" t="n"/>
      <c r="G14" s="14" t="n"/>
      <c r="H14" s="14" t="n"/>
      <c r="I14" s="14" t="n"/>
      <c r="J14" s="14" t="n"/>
    </row>
    <row r="15" ht="42" customHeight="1">
      <c r="A15" s="4" t="n"/>
      <c r="B15" s="14" t="n"/>
      <c r="C15" s="13" t="n"/>
      <c r="D15" s="14" t="n"/>
      <c r="E15" s="14" t="n"/>
      <c r="F15" s="14" t="n"/>
      <c r="G15" s="14" t="n"/>
      <c r="H15" s="14" t="n"/>
      <c r="I15" s="14" t="n"/>
      <c r="J15" s="14" t="n"/>
    </row>
    <row r="16" ht="42" customHeight="1">
      <c r="A16" s="5" t="n"/>
      <c r="B16" s="14" t="n"/>
      <c r="C16" s="13" t="n"/>
      <c r="D16" s="14" t="n"/>
      <c r="E16" s="14" t="n"/>
      <c r="F16" s="14" t="n"/>
      <c r="G16" s="14" t="n"/>
      <c r="H16" s="14" t="n"/>
      <c r="I16" s="14" t="n"/>
      <c r="J16" s="14" t="n"/>
    </row>
    <row r="17" ht="42" customHeight="1">
      <c r="A17" s="4" t="n"/>
      <c r="B17" s="14" t="n"/>
      <c r="C17" s="13" t="n"/>
      <c r="D17" s="14" t="n"/>
      <c r="E17" s="14" t="n"/>
      <c r="F17" s="14" t="n"/>
      <c r="G17" s="14" t="n"/>
      <c r="H17" s="14" t="n"/>
      <c r="I17" s="14" t="n"/>
      <c r="J17" s="14" t="n"/>
    </row>
    <row r="18" ht="42" customHeight="1">
      <c r="A18" s="5" t="n"/>
      <c r="B18" s="14" t="n"/>
      <c r="C18" s="13" t="n"/>
      <c r="D18" s="14" t="n"/>
      <c r="E18" s="14" t="n"/>
      <c r="F18" s="14" t="n"/>
      <c r="G18" s="14" t="n"/>
      <c r="H18" s="14" t="n"/>
      <c r="I18" s="14" t="n"/>
      <c r="J18" s="14" t="n"/>
    </row>
    <row r="19" ht="42" customHeight="1">
      <c r="A19" s="4" t="n"/>
      <c r="B19" s="14" t="n"/>
      <c r="C19" s="13" t="n"/>
      <c r="D19" s="14" t="n"/>
      <c r="E19" s="14" t="n"/>
      <c r="F19" s="14" t="n"/>
      <c r="G19" s="14" t="n"/>
      <c r="H19" s="14" t="n"/>
      <c r="I19" s="14" t="n"/>
      <c r="J19" s="14" t="n"/>
    </row>
    <row r="20" ht="42" customHeight="1">
      <c r="A20" s="5" t="n"/>
      <c r="B20" s="14" t="n"/>
      <c r="C20" s="13" t="n"/>
      <c r="D20" s="14" t="n"/>
      <c r="E20" s="14" t="n"/>
      <c r="F20" s="14" t="n"/>
      <c r="G20" s="14" t="n"/>
      <c r="H20" s="14" t="n"/>
      <c r="I20" s="14" t="n"/>
      <c r="J20" s="14" t="n"/>
    </row>
    <row r="21" ht="42" customHeight="1">
      <c r="A21" s="4" t="n"/>
      <c r="B21" s="14" t="n"/>
      <c r="C21" s="13" t="n"/>
      <c r="D21" s="14" t="n"/>
      <c r="E21" s="14" t="n"/>
      <c r="F21" s="14" t="n"/>
      <c r="G21" s="14" t="n"/>
      <c r="H21" s="14" t="n"/>
      <c r="I21" s="14" t="n"/>
      <c r="J21" s="14" t="n"/>
    </row>
    <row r="22" ht="42" customHeight="1">
      <c r="A22" s="5" t="n"/>
      <c r="B22" s="14" t="n"/>
      <c r="C22" s="13" t="n"/>
      <c r="D22" s="14" t="n"/>
      <c r="E22" s="14" t="n"/>
      <c r="F22" s="14" t="n"/>
      <c r="G22" s="14" t="n"/>
      <c r="H22" s="14" t="n"/>
      <c r="I22" s="14" t="n"/>
      <c r="J22" s="14" t="n"/>
    </row>
    <row r="23" ht="42" customHeight="1">
      <c r="A23" s="4" t="n"/>
      <c r="B23" s="14" t="n"/>
      <c r="C23" s="13" t="n"/>
      <c r="D23" s="14" t="n"/>
      <c r="E23" s="14" t="n"/>
      <c r="F23" s="14" t="n"/>
      <c r="G23" s="14" t="n"/>
      <c r="H23" s="14" t="n"/>
      <c r="I23" s="14" t="n"/>
      <c r="J23" s="14" t="n"/>
    </row>
  </sheetData>
  <autoFilter ref="A3:J23"/>
  <mergeCells count="2">
    <mergeCell ref="A1:J1"/>
    <mergeCell ref="A2:J2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Q2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7" customWidth="1" min="8" max="8"/>
    <col width="19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64" customWidth="1" min="17" max="17"/>
  </cols>
  <sheetData>
    <row r="1" ht="42" customHeight="1">
      <c r="A1" s="1" t="inlineStr">
        <is>
          <t>评分历史留档｜只粘贴数值</t>
        </is>
      </c>
    </row>
    <row r="2" ht="32" customHeight="1">
      <c r="A2" s="2" t="inlineStr">
        <is>
          <t>每次评级结束后，将05汇总结果复制并“仅粘贴数值”至新行；记录当时信息集，后续数据修订不得覆写旧记录。</t>
        </is>
      </c>
    </row>
    <row r="3" ht="30" customHeight="1">
      <c r="A3" s="3" t="inlineStr">
        <is>
          <t>评级类型</t>
        </is>
      </c>
      <c r="B3" s="3" t="inlineStr">
        <is>
          <t>信息截止日</t>
        </is>
      </c>
      <c r="C3" s="3" t="inlineStr">
        <is>
          <t>评价期</t>
        </is>
      </c>
      <c r="D3" s="3" t="inlineStr">
        <is>
          <t>规则版本</t>
        </is>
      </c>
      <c r="E3" s="3" t="inlineStr">
        <is>
          <t>经济运行分</t>
        </is>
      </c>
      <c r="F3" s="3" t="inlineStr">
        <is>
          <t>增长动力分</t>
        </is>
      </c>
      <c r="G3" s="3" t="inlineStr">
        <is>
          <t>金融信贷分</t>
        </is>
      </c>
      <c r="H3" s="3" t="inlineStr">
        <is>
          <t>基本面分</t>
        </is>
      </c>
      <c r="I3" s="3" t="inlineStr">
        <is>
          <t>宏观调控分</t>
        </is>
      </c>
      <c r="J3" s="3" t="inlineStr">
        <is>
          <t>四支柱总分</t>
        </is>
      </c>
      <c r="K3" s="3" t="inlineStr">
        <is>
          <t>正式档位</t>
        </is>
      </c>
      <c r="L3" s="3" t="inlineStr">
        <is>
          <t>总覆盖率</t>
        </is>
      </c>
      <c r="M3" s="3" t="inlineStr">
        <is>
          <t>经济覆盖</t>
        </is>
      </c>
      <c r="N3" s="3" t="inlineStr">
        <is>
          <t>增长覆盖</t>
        </is>
      </c>
      <c r="O3" s="3" t="inlineStr">
        <is>
          <t>金融覆盖</t>
        </is>
      </c>
      <c r="P3" s="3" t="inlineStr">
        <is>
          <t>政策覆盖</t>
        </is>
      </c>
      <c r="Q3" s="3" t="inlineStr">
        <is>
          <t>原始数据版本/政策分歧</t>
        </is>
      </c>
    </row>
    <row r="4" ht="42" customHeight="1">
      <c r="A4" s="5" t="n"/>
      <c r="B4" s="2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11" t="n"/>
      <c r="M4" s="11" t="n"/>
      <c r="N4" s="11" t="n"/>
      <c r="O4" s="11" t="n"/>
      <c r="P4" s="11" t="n"/>
      <c r="Q4" s="5" t="n"/>
    </row>
    <row r="5" ht="42" customHeight="1">
      <c r="A5" s="4" t="n"/>
      <c r="B5" s="26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12" t="n"/>
      <c r="M5" s="12" t="n"/>
      <c r="N5" s="12" t="n"/>
      <c r="O5" s="12" t="n"/>
      <c r="P5" s="12" t="n"/>
      <c r="Q5" s="4" t="n"/>
    </row>
    <row r="6" ht="42" customHeight="1">
      <c r="A6" s="5" t="n"/>
      <c r="B6" s="2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11" t="n"/>
      <c r="M6" s="11" t="n"/>
      <c r="N6" s="11" t="n"/>
      <c r="O6" s="11" t="n"/>
      <c r="P6" s="11" t="n"/>
      <c r="Q6" s="5" t="n"/>
    </row>
    <row r="7" ht="42" customHeight="1">
      <c r="A7" s="4" t="n"/>
      <c r="B7" s="26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12" t="n"/>
      <c r="M7" s="12" t="n"/>
      <c r="N7" s="12" t="n"/>
      <c r="O7" s="12" t="n"/>
      <c r="P7" s="12" t="n"/>
      <c r="Q7" s="4" t="n"/>
    </row>
    <row r="8" ht="42" customHeight="1">
      <c r="A8" s="5" t="n"/>
      <c r="B8" s="2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11" t="n"/>
      <c r="M8" s="11" t="n"/>
      <c r="N8" s="11" t="n"/>
      <c r="O8" s="11" t="n"/>
      <c r="P8" s="11" t="n"/>
      <c r="Q8" s="5" t="n"/>
    </row>
    <row r="9" ht="42" customHeight="1">
      <c r="A9" s="4" t="n"/>
      <c r="B9" s="26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12" t="n"/>
      <c r="M9" s="12" t="n"/>
      <c r="N9" s="12" t="n"/>
      <c r="O9" s="12" t="n"/>
      <c r="P9" s="12" t="n"/>
      <c r="Q9" s="4" t="n"/>
    </row>
    <row r="10" ht="42" customHeight="1">
      <c r="A10" s="5" t="n"/>
      <c r="B10" s="2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1" t="n"/>
      <c r="M10" s="11" t="n"/>
      <c r="N10" s="11" t="n"/>
      <c r="O10" s="11" t="n"/>
      <c r="P10" s="11" t="n"/>
      <c r="Q10" s="5" t="n"/>
    </row>
    <row r="11" ht="42" customHeight="1">
      <c r="A11" s="4" t="n"/>
      <c r="B11" s="26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12" t="n"/>
      <c r="M11" s="12" t="n"/>
      <c r="N11" s="12" t="n"/>
      <c r="O11" s="12" t="n"/>
      <c r="P11" s="12" t="n"/>
      <c r="Q11" s="4" t="n"/>
    </row>
    <row r="12" ht="42" customHeight="1">
      <c r="A12" s="5" t="n"/>
      <c r="B12" s="2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1" t="n"/>
      <c r="M12" s="11" t="n"/>
      <c r="N12" s="11" t="n"/>
      <c r="O12" s="11" t="n"/>
      <c r="P12" s="11" t="n"/>
      <c r="Q12" s="5" t="n"/>
    </row>
    <row r="13" ht="42" customHeight="1">
      <c r="A13" s="4" t="n"/>
      <c r="B13" s="26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12" t="n"/>
      <c r="M13" s="12" t="n"/>
      <c r="N13" s="12" t="n"/>
      <c r="O13" s="12" t="n"/>
      <c r="P13" s="12" t="n"/>
      <c r="Q13" s="4" t="n"/>
    </row>
    <row r="14" ht="42" customHeight="1">
      <c r="A14" s="5" t="n"/>
      <c r="B14" s="2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1" t="n"/>
      <c r="M14" s="11" t="n"/>
      <c r="N14" s="11" t="n"/>
      <c r="O14" s="11" t="n"/>
      <c r="P14" s="11" t="n"/>
      <c r="Q14" s="5" t="n"/>
    </row>
    <row r="15" ht="42" customHeight="1">
      <c r="A15" s="4" t="n"/>
      <c r="B15" s="26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12" t="n"/>
      <c r="M15" s="12" t="n"/>
      <c r="N15" s="12" t="n"/>
      <c r="O15" s="12" t="n"/>
      <c r="P15" s="12" t="n"/>
      <c r="Q15" s="4" t="n"/>
    </row>
    <row r="16" ht="42" customHeight="1">
      <c r="A16" s="5" t="n"/>
      <c r="B16" s="2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1" t="n"/>
      <c r="M16" s="11" t="n"/>
      <c r="N16" s="11" t="n"/>
      <c r="O16" s="11" t="n"/>
      <c r="P16" s="11" t="n"/>
      <c r="Q16" s="5" t="n"/>
    </row>
    <row r="17" ht="42" customHeight="1">
      <c r="A17" s="4" t="n"/>
      <c r="B17" s="26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12" t="n"/>
      <c r="M17" s="12" t="n"/>
      <c r="N17" s="12" t="n"/>
      <c r="O17" s="12" t="n"/>
      <c r="P17" s="12" t="n"/>
      <c r="Q17" s="4" t="n"/>
    </row>
    <row r="18" ht="42" customHeight="1">
      <c r="A18" s="5" t="n"/>
      <c r="B18" s="2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1" t="n"/>
      <c r="M18" s="11" t="n"/>
      <c r="N18" s="11" t="n"/>
      <c r="O18" s="11" t="n"/>
      <c r="P18" s="11" t="n"/>
      <c r="Q18" s="5" t="n"/>
    </row>
    <row r="19" ht="42" customHeight="1">
      <c r="A19" s="4" t="n"/>
      <c r="B19" s="26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12" t="n"/>
      <c r="M19" s="12" t="n"/>
      <c r="N19" s="12" t="n"/>
      <c r="O19" s="12" t="n"/>
      <c r="P19" s="12" t="n"/>
      <c r="Q19" s="4" t="n"/>
    </row>
    <row r="20" ht="42" customHeight="1">
      <c r="A20" s="5" t="n"/>
      <c r="B20" s="2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1" t="n"/>
      <c r="M20" s="11" t="n"/>
      <c r="N20" s="11" t="n"/>
      <c r="O20" s="11" t="n"/>
      <c r="P20" s="11" t="n"/>
      <c r="Q20" s="5" t="n"/>
    </row>
    <row r="21" ht="42" customHeight="1">
      <c r="A21" s="4" t="n"/>
      <c r="B21" s="26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12" t="n"/>
      <c r="M21" s="12" t="n"/>
      <c r="N21" s="12" t="n"/>
      <c r="O21" s="12" t="n"/>
      <c r="P21" s="12" t="n"/>
      <c r="Q21" s="4" t="n"/>
    </row>
    <row r="22" ht="42" customHeight="1">
      <c r="A22" s="5" t="n"/>
      <c r="B22" s="2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1" t="n"/>
      <c r="M22" s="11" t="n"/>
      <c r="N22" s="11" t="n"/>
      <c r="O22" s="11" t="n"/>
      <c r="P22" s="11" t="n"/>
      <c r="Q22" s="5" t="n"/>
    </row>
    <row r="23" ht="42" customHeight="1">
      <c r="A23" s="4" t="n"/>
      <c r="B23" s="26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2" t="n"/>
      <c r="M23" s="12" t="n"/>
      <c r="N23" s="12" t="n"/>
      <c r="O23" s="12" t="n"/>
      <c r="P23" s="12" t="n"/>
      <c r="Q23" s="4" t="n"/>
    </row>
  </sheetData>
  <autoFilter ref="A3:Q23"/>
  <mergeCells count="2">
    <mergeCell ref="A2:Q2"/>
    <mergeCell ref="A1:Q1"/>
  </mergeCells>
  <dataValidations count="1">
    <dataValidation sqref="A4:A500" showDropDown="0" showInputMessage="0" showErrorMessage="0" allowBlank="1" type="list">
      <formula1>"月度观察,季度正式评级"</formula1>
    </dataValidation>
  </dataValidation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65" customWidth="1" min="2" max="2"/>
    <col width="45" customWidth="1" min="3" max="3"/>
    <col width="37" customWidth="1" min="4" max="4"/>
    <col width="44" customWidth="1" min="5" max="5"/>
  </cols>
  <sheetData>
    <row r="1" ht="42" customHeight="1">
      <c r="A1" s="1" t="inlineStr">
        <is>
          <t>从原稿到新版：关键修订清单</t>
        </is>
      </c>
    </row>
    <row r="2" ht="32" customHeight="1">
      <c r="A2" s="2" t="inlineStr">
        <is>
          <t>这是一份可讨论、可回测的优化建议，不代表对中国宏观当前状态的重新评级。</t>
        </is>
      </c>
    </row>
    <row r="3" ht="30" customHeight="1">
      <c r="A3" s="3" t="inlineStr">
        <is>
          <t>原稿问题</t>
        </is>
      </c>
      <c r="B3" s="3" t="inlineStr">
        <is>
          <t>新版处理</t>
        </is>
      </c>
      <c r="C3" s="3" t="inlineStr">
        <is>
          <t>保留/新增</t>
        </is>
      </c>
      <c r="D3" s="3" t="inlineStr">
        <is>
          <t>影响</t>
        </is>
      </c>
      <c r="E3" s="3" t="inlineStr">
        <is>
          <t>定稿前验证</t>
        </is>
      </c>
    </row>
    <row r="4" ht="42" customHeight="1">
      <c r="A4" s="5" t="inlineStr">
        <is>
          <t>67项追踪、66项打分规则、无单项固定权重</t>
        </is>
      </c>
      <c r="B4" s="5" t="inlineStr">
        <is>
          <t>保留67项原稿，21项核心评分；其余为辅助或政策观察</t>
        </is>
      </c>
      <c r="C4" s="5" t="inlineStr">
        <is>
          <t>新增5项候选观察、2项派生核心</t>
        </is>
      </c>
      <c r="D4" s="5" t="inlineStr">
        <is>
          <t>减少双计，提高可解释性</t>
        </is>
      </c>
      <c r="E4" s="5" t="inlineStr">
        <is>
          <t>回测核心与辅助的增量信息</t>
        </is>
      </c>
    </row>
    <row r="5" ht="42" customHeight="1">
      <c r="A5" s="4" t="inlineStr">
        <is>
          <t>上一版把宏观调控权重降为0，忽略政策前瞻作用</t>
        </is>
      </c>
      <c r="B5" s="4" t="inlineStr">
        <is>
          <t>恢复30/25/25/20四支柱综合评级，同时并列基本面分与政策分</t>
        </is>
      </c>
      <c r="C5" s="4" t="inlineStr">
        <is>
          <t>财政、货币、产业、制度四个政策子项</t>
        </is>
      </c>
      <c r="D5" s="4" t="inlineStr">
        <is>
          <t>保留中国宏观政策的投资前瞻性</t>
        </is>
      </c>
      <c r="E5" s="4" t="inlineStr">
        <is>
          <t>回测15%/20%/25%政策权重及档位稳定性</t>
        </is>
      </c>
    </row>
    <row r="6" ht="42" customHeight="1">
      <c r="A6" s="5" t="inlineStr">
        <is>
          <t>原稿把低利率、高赤字直接作为高分</t>
        </is>
      </c>
      <c r="B6" s="5" t="inlineStr">
        <is>
          <t>政策分依据正式方向、资源和执行；只有表态原则上至多3分</t>
        </is>
      </c>
      <c r="C6" s="5" t="inlineStr">
        <is>
          <t>正式文件、预算/工具、落实证据分栏记录</t>
        </is>
      </c>
      <c r="D6" s="5" t="inlineStr">
        <is>
          <t>政策动作不等于经济已经改善</t>
        </is>
      </c>
      <c r="E6" s="5" t="inlineStr">
        <is>
          <t>逐期核对发布与执行，检查事后判断偏差</t>
        </is>
      </c>
    </row>
    <row r="7" ht="42" customHeight="1">
      <c r="A7" s="4" t="inlineStr">
        <is>
          <t>宏观调控与基本面容易双计</t>
        </is>
      </c>
      <c r="B7" s="4" t="inlineStr">
        <is>
          <t>消费、投资、信贷等政策效果仍只进前三支柱</t>
        </is>
      </c>
      <c r="C7" s="4" t="inlineStr">
        <is>
          <t>政策事件台账记录待验证传导</t>
        </is>
      </c>
      <c r="D7" s="4" t="inlineStr">
        <is>
          <t>区分政策预期与实际兑现</t>
        </is>
      </c>
      <c r="E7" s="4" t="inlineStr">
        <is>
          <t>检查政策分对未来一季的增量预测力</t>
        </is>
      </c>
    </row>
    <row r="8" ht="42" customHeight="1">
      <c r="A8" s="5" t="inlineStr">
        <is>
          <t>过热/风险定价不足却标为5分</t>
        </is>
      </c>
      <c r="B8" s="5" t="inlineStr">
        <is>
          <t>价格与剪刀差用目标区间；市场利率不打健康分</t>
        </is>
      </c>
      <c r="C8" s="5" t="inlineStr">
        <is>
          <t>原稿规则在备份表保留</t>
        </is>
      </c>
      <c r="D8" s="5" t="inlineStr">
        <is>
          <t>五分方向一致</t>
        </is>
      </c>
      <c r="E8" s="5" t="inlineStr">
        <is>
          <t>对高通胀、债市异常时期回测</t>
        </is>
      </c>
    </row>
    <row r="9" ht="42" customHeight="1">
      <c r="A9" s="4" t="inlineStr">
        <is>
          <t>原稿部分档位重叠或空档</t>
        </is>
      </c>
      <c r="B9" s="4" t="inlineStr">
        <is>
          <t>核心规则参数化；覆盖全数轴且只有一个得分</t>
        </is>
      </c>
      <c r="C9" s="4" t="inlineStr">
        <is>
          <t>正式档位左闭右开</t>
        </is>
      </c>
      <c r="D9" s="4" t="inlineStr">
        <is>
          <t>避免临界值歧义</t>
        </is>
      </c>
      <c r="E9" s="4" t="inlineStr">
        <is>
          <t>检查每个阈值边界</t>
        </is>
      </c>
    </row>
    <row r="10" ht="42" customHeight="1">
      <c r="A10" s="5" t="inlineStr">
        <is>
          <t>贷款当月新增季节性强</t>
        </is>
      </c>
      <c r="B10" s="5" t="inlineStr">
        <is>
          <t>居民/企业中长贷改近3个月同比多增</t>
        </is>
      </c>
      <c r="C10" s="5" t="inlineStr">
        <is>
          <t>原始新增额仍可看</t>
        </is>
      </c>
      <c r="D10" s="5" t="inlineStr">
        <is>
          <t>缓和春节和信贷开门红扰动</t>
        </is>
      </c>
      <c r="E10" s="5" t="inlineStr">
        <is>
          <t>核对当月及累计互算</t>
        </is>
      </c>
    </row>
    <row r="11" ht="42" customHeight="1">
      <c r="A11" s="4" t="inlineStr">
        <is>
          <t>缺值时用剩余项平均</t>
        </is>
      </c>
      <c r="B11" s="4" t="inlineStr">
        <is>
          <t>固定权重并显示覆盖；85%给暂定观察分，100%才给正式分</t>
        </is>
      </c>
      <c r="C11" s="4" t="inlineStr">
        <is>
          <t>单柱70%为暂定最低门槛</t>
        </is>
      </c>
      <c r="D11" s="4" t="inlineStr">
        <is>
          <t>正式总分不自动给缺失指标重新分权</t>
        </is>
      </c>
      <c r="E11" s="4" t="inlineStr">
        <is>
          <t>模拟历史缺口并调整门槛</t>
        </is>
      </c>
    </row>
    <row r="12" ht="42" customHeight="1">
      <c r="A12" s="5" t="inlineStr">
        <is>
          <t>M1定义调整可能造成假跳跃</t>
        </is>
      </c>
      <c r="B12" s="5" t="inlineStr">
        <is>
          <t>M1-M2仅按相同新口径进入评分；旧口径另存</t>
        </is>
      </c>
      <c r="C12" s="5" t="inlineStr">
        <is>
          <t>M1/M2原始增速仍看</t>
        </is>
      </c>
      <c r="D12" s="5" t="inlineStr">
        <is>
          <t>避免跨口径假改善</t>
        </is>
      </c>
      <c r="E12" s="5" t="inlineStr">
        <is>
          <t>核实人民银行新旧口径衔接</t>
        </is>
      </c>
    </row>
    <row r="13" ht="42" customHeight="1">
      <c r="A13" s="4" t="inlineStr">
        <is>
          <t>名义/累计/期末口径可能混用</t>
        </is>
      </c>
      <c r="B13" s="4" t="inlineStr">
        <is>
          <t>每项写明统计期、发布日期、单位、派生定义</t>
        </is>
      </c>
      <c r="C13" s="4" t="inlineStr">
        <is>
          <t>信息截止日快照</t>
        </is>
      </c>
      <c r="D13" s="4" t="inlineStr">
        <is>
          <t>防止未来数据回填</t>
        </is>
      </c>
      <c r="E13" s="4" t="inlineStr">
        <is>
          <t>按每月发布日做点时复盘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8" customWidth="1" min="3" max="3"/>
    <col width="91" customWidth="1" min="4" max="4"/>
  </cols>
  <sheetData>
    <row r="1" ht="42" customHeight="1">
      <c r="A1" s="1" t="inlineStr">
        <is>
          <t>口径核验与方法参考</t>
        </is>
      </c>
    </row>
    <row r="2" ht="32" customHeight="1">
      <c r="A2" s="2" t="inlineStr">
        <is>
          <t>官方链接只支持发布/定义事实；权重、阈值及评级解释是本工作簿的研究建议，不由这些机构背书。</t>
        </is>
      </c>
    </row>
    <row r="3" ht="30" customHeight="1">
      <c r="A3" s="3" t="inlineStr">
        <is>
          <t>事项</t>
        </is>
      </c>
      <c r="B3" s="3" t="inlineStr">
        <is>
          <t>机构</t>
        </is>
      </c>
      <c r="C3" s="3" t="inlineStr">
        <is>
          <t>链接</t>
        </is>
      </c>
      <c r="D3" s="3" t="inlineStr">
        <is>
          <t>用于本表的结论</t>
        </is>
      </c>
    </row>
    <row r="4" ht="42" customHeight="1">
      <c r="A4" s="5" t="inlineStr">
        <is>
          <t>季度GDP初步核算与修订</t>
        </is>
      </c>
      <c r="B4" s="5" t="inlineStr">
        <is>
          <t>国家统计局</t>
        </is>
      </c>
      <c r="C4" s="27" t="inlineStr">
        <is>
          <t>https://www.stats.gov.cn/sj/zxfbhjd/202604/t20260417_1963336.html</t>
        </is>
      </c>
      <c r="D4" s="5" t="inlineStr">
        <is>
          <t>季度GDP存在初步核算及最终核实/修订；历史快照需保留当时版本</t>
        </is>
      </c>
    </row>
    <row r="5" ht="42" customHeight="1">
      <c r="A5" s="4" t="inlineStr">
        <is>
          <t>狭义货币M1定义</t>
        </is>
      </c>
      <c r="B5" s="4" t="inlineStr">
        <is>
          <t>中国人民银行</t>
        </is>
      </c>
      <c r="C5" s="27" t="inlineStr">
        <is>
          <t>https://www.pbc.gov.cn/rmyh/109339/2025080818580470423/index.html</t>
        </is>
      </c>
      <c r="D5" s="4" t="inlineStr">
        <is>
          <t>新M1涵盖个人活期存款和非银行支付机构客户备付金；须注明口径</t>
        </is>
      </c>
    </row>
    <row r="6" ht="42" customHeight="1">
      <c r="A6" s="5" t="inlineStr">
        <is>
          <t>就业统计与不含在校生青年失业率</t>
        </is>
      </c>
      <c r="B6" s="5" t="inlineStr">
        <is>
          <t>国家统计局</t>
        </is>
      </c>
      <c r="C6" s="27" t="inlineStr">
        <is>
          <t>https://www.stats.gov.cn/hd/lyzx/zxgk/202406/t20240619_1955075.html</t>
        </is>
      </c>
      <c r="D6" s="5" t="inlineStr">
        <is>
          <t>青年就业新序列不可与旧定义直接拼接</t>
        </is>
      </c>
    </row>
    <row r="7" ht="42" customHeight="1">
      <c r="A7" s="4" t="inlineStr">
        <is>
          <t>制造业PMI新订单指数</t>
        </is>
      </c>
      <c r="B7" s="4" t="inlineStr">
        <is>
          <t>国家统计局</t>
        </is>
      </c>
      <c r="C7" s="27" t="inlineStr">
        <is>
          <t>https://www.stats.gov.cn/sj/zxfbhjd/202608/t20260831_1965154.html</t>
        </is>
      </c>
      <c r="D7" s="4" t="inlineStr">
        <is>
          <t>官方月报有新订单分项；在本版仅作景气领先观察</t>
        </is>
      </c>
    </row>
    <row r="8" ht="42" customHeight="1">
      <c r="A8" s="5" t="inlineStr">
        <is>
          <t>服务零售额累计同比</t>
        </is>
      </c>
      <c r="B8" s="5" t="inlineStr">
        <is>
          <t>国家统计局</t>
        </is>
      </c>
      <c r="C8" s="27" t="inlineStr">
        <is>
          <t>https://www.stats.gov.cn/zs/tjwh/tjkw/tjqk/zgxxb/202605/P020260519307748534827.pdf</t>
        </is>
      </c>
      <c r="D8" s="5" t="inlineStr">
        <is>
          <t>官方月报有服务零售额同比；与社会消费品零售总额口径不同</t>
        </is>
      </c>
    </row>
    <row r="9" ht="42" customHeight="1">
      <c r="A9" s="4" t="inlineStr">
        <is>
          <t>商品房待售面积</t>
        </is>
      </c>
      <c r="B9" s="4" t="inlineStr">
        <is>
          <t>国家统计局</t>
        </is>
      </c>
      <c r="C9" s="27" t="inlineStr">
        <is>
          <t>https://www.stats.gov.cn/sj/zxfb/202609/t20260915_1965310.html</t>
        </is>
      </c>
      <c r="D9" s="4" t="inlineStr">
        <is>
          <t>月末待售库存指标；与销量搭配分析</t>
        </is>
      </c>
    </row>
    <row r="10" ht="42" customHeight="1">
      <c r="A10" s="5" t="inlineStr">
        <is>
          <t>经常账户差额与GDP之比</t>
        </is>
      </c>
      <c r="B10" s="5" t="inlineStr">
        <is>
          <t>国家外汇管理局</t>
        </is>
      </c>
      <c r="C10" s="27" t="inlineStr">
        <is>
          <t>https://www.safe.gov.cn/big5/big5/www.safe.gov.cn/safe/file/file/20250328/7bb9c7c80cc44982b9dfe749ceb1df6b.pdf</t>
        </is>
      </c>
      <c r="D10" s="5" t="inlineStr">
        <is>
          <t>国际收支报告用该比率观察对外平衡</t>
        </is>
      </c>
    </row>
    <row r="11" ht="42" customHeight="1">
      <c r="A11" s="4" t="inlineStr">
        <is>
          <t>政策作为投资环境前瞻信息</t>
        </is>
      </c>
      <c r="B11" s="4" t="inlineStr">
        <is>
          <t>中央经济工作会议/商务部转载通稿</t>
        </is>
      </c>
      <c r="C11" s="27" t="inlineStr">
        <is>
          <t>https://www.mofcom.gov.cn/syxwfb/art/2025/art_de35cba3eb5d4c369b089135e92ba890.html</t>
        </is>
      </c>
      <c r="D11" s="4" t="inlineStr">
        <is>
          <t>财政、货币、改革与产业政策有明确部署；具体评分权重仍为研究建议</t>
        </is>
      </c>
    </row>
    <row r="12" ht="42" customHeight="1">
      <c r="A12" s="5" t="inlineStr">
        <is>
          <t>政策支持与当前内需区分</t>
        </is>
      </c>
      <c r="B12" s="5" t="inlineStr">
        <is>
          <t>国际货币基金组织</t>
        </is>
      </c>
      <c r="C12" s="27" t="inlineStr">
        <is>
          <t>https://www.imf.org/en/news/articles/2026/02/18/pr-26053-china-imf-executive-board-concludes-2025-article-iv-consultation</t>
        </is>
      </c>
      <c r="D12" s="5" t="inlineStr">
        <is>
          <t>政策刺激可支持增长，但现实需求可能仍弱；两类信息宜并列展示</t>
        </is>
      </c>
    </row>
    <row r="13" ht="42" customHeight="1">
      <c r="A13" s="4" t="inlineStr">
        <is>
          <t>原稿来源</t>
        </is>
      </c>
      <c r="B13" s="4" t="inlineStr">
        <is>
          <t>用户提供的中国宏观分析框架.xlsx</t>
        </is>
      </c>
      <c r="C13" s="4" t="inlineStr">
        <is>
          <t>本工作簿的原稿四表</t>
        </is>
      </c>
      <c r="D13" s="4" t="inlineStr">
        <is>
          <t>原始指标与旧规则完整存档；报告目录按用户要求未纳入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  <pageSetup fitToWidth="1"/>
</worksheet>
</file>

<file path=xl/worksheets/sheet1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68" customWidth="1" min="3" max="3"/>
    <col width="17" customWidth="1" min="4" max="4"/>
    <col width="56" customWidth="1" min="5" max="5"/>
  </cols>
  <sheetData>
    <row r="1" ht="42" customHeight="1">
      <c r="A1" s="1" t="inlineStr">
        <is>
          <t>填表示例｜全部为假设数</t>
        </is>
      </c>
    </row>
    <row r="2" ht="32" customHeight="1">
      <c r="A2" s="2" t="inlineStr">
        <is>
          <t>仅演示阈值怎样映射为1—5分，不代表任何时期的真实数据，也不参与04本期录入或05评级汇总。</t>
        </is>
      </c>
    </row>
    <row r="3" ht="30" customHeight="1">
      <c r="A3" s="3" t="inlineStr">
        <is>
          <t>指标</t>
        </is>
      </c>
      <c r="B3" s="3" t="inlineStr">
        <is>
          <t>假设值</t>
        </is>
      </c>
      <c r="C3" s="3" t="inlineStr">
        <is>
          <t>试行规则</t>
        </is>
      </c>
      <c r="D3" s="3" t="inlineStr">
        <is>
          <t>对应得分</t>
        </is>
      </c>
      <c r="E3" s="3" t="inlineStr">
        <is>
          <t>说明</t>
        </is>
      </c>
    </row>
    <row r="4" ht="42" customHeight="1">
      <c r="A4" s="5" t="inlineStr">
        <is>
          <t>GDP同比增速（%）</t>
        </is>
      </c>
      <c r="B4" s="5" t="n">
        <v>5.2</v>
      </c>
      <c r="C4" s="5" t="inlineStr">
        <is>
          <t>&lt;3=1；3—4=2；4—5=3；5—6=4；≥6=5</t>
        </is>
      </c>
      <c r="D4" s="5" t="n">
        <v>4</v>
      </c>
      <c r="E4" s="5" t="inlineStr">
        <is>
          <t>假设值落在5—6；年度目标调整后须重审阈值</t>
        </is>
      </c>
    </row>
    <row r="5" ht="42" customHeight="1">
      <c r="A5" s="4" t="inlineStr">
        <is>
          <t>CPI同比（%）</t>
        </is>
      </c>
      <c r="B5" s="4" t="n">
        <v>2</v>
      </c>
      <c r="C5" s="4" t="inlineStr">
        <is>
          <t>1.5—2.5=5；区间外逐级扣分</t>
        </is>
      </c>
      <c r="D5" s="4" t="n">
        <v>5</v>
      </c>
      <c r="E5" s="4" t="inlineStr">
        <is>
          <t>展示目标区间，而非越高越好</t>
        </is>
      </c>
    </row>
    <row r="6" ht="42" customHeight="1">
      <c r="A6" s="5" t="inlineStr">
        <is>
          <t>城镇调查失业率（%）</t>
        </is>
      </c>
      <c r="B6" s="5" t="n">
        <v>5.2</v>
      </c>
      <c r="C6" s="5" t="inlineStr">
        <is>
          <t>&lt;4.5=5；4.5—5=4；5—5.5=3；5.5—6=2；≥6=1</t>
        </is>
      </c>
      <c r="D6" s="5" t="n">
        <v>3</v>
      </c>
      <c r="E6" s="5" t="inlineStr">
        <is>
          <t>展示低优规则</t>
        </is>
      </c>
    </row>
    <row r="7">
      <c r="A7" t="inlineStr">
        <is>
          <t>财政政策</t>
        </is>
      </c>
      <c r="B7" t="inlineStr">
        <is>
          <t>支持；正式；资源已明确；已执行</t>
        </is>
      </c>
      <c r="C7" t="inlineStr">
        <is>
          <t>政策正式且资源与执行齐备</t>
        </is>
      </c>
      <c r="D7" t="n">
        <v>5</v>
      </c>
      <c r="E7" t="inlineStr">
        <is>
          <t>仅为假设案例，实际必须附官方文件和执行证据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4.xml><?xml version="1.0" encoding="utf-8"?>
<worksheet xmlns="http://schemas.openxmlformats.org/spreadsheetml/2006/main">
  <sheetPr>
    <tabColor rgb="00AEB1B3"/>
    <outlinePr summaryBelow="1" summaryRight="1"/>
    <pageSetUpPr/>
  </sheetPr>
  <dimension ref="A1:D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</cols>
  <sheetData>
    <row r="1" ht="31" customHeight="1">
      <c r="A1" s="28" t="inlineStr">
        <is>
          <t>中国宏观分析框架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核心回答</t>
        </is>
      </c>
      <c r="C3" s="29" t="inlineStr">
        <is>
          <t>主要作用</t>
        </is>
      </c>
      <c r="D3" s="29" t="inlineStr">
        <is>
          <t>关键逻辑</t>
        </is>
      </c>
    </row>
    <row r="4" ht="31" customHeight="1">
      <c r="A4" s="30" t="inlineStr">
        <is>
          <t>经济运行</t>
        </is>
      </c>
      <c r="B4" s="30" t="inlineStr">
        <is>
          <t>当前经济处在扩张、平稳还是收缩区间</t>
        </is>
      </c>
      <c r="C4" s="30" t="inlineStr">
        <is>
          <t>决定宏观环境底色</t>
        </is>
      </c>
      <c r="D4" s="30" t="inlineStr">
        <is>
          <t>经济增长、物价、就业、国际收支和景气指数共同刻画经济运行状态</t>
        </is>
      </c>
    </row>
    <row r="5" ht="31" customHeight="1">
      <c r="A5" s="31" t="inlineStr">
        <is>
          <t>增长动力</t>
        </is>
      </c>
      <c r="B5" s="31" t="inlineStr">
        <is>
          <t>增长来自哪些部门，是否可持续</t>
        </is>
      </c>
      <c r="C5" s="31" t="inlineStr">
        <is>
          <t>决定经济修复质量</t>
        </is>
      </c>
      <c r="D5" s="31" t="inlineStr">
        <is>
          <t>工业、地产、投资、消费、进出口决定内生动能与结构分化</t>
        </is>
      </c>
    </row>
    <row r="6" ht="31" customHeight="1">
      <c r="A6" s="30" t="inlineStr">
        <is>
          <t>金融信贷</t>
        </is>
      </c>
      <c r="B6" s="30" t="inlineStr">
        <is>
          <t>信用周期是否扩张，资金是否活化</t>
        </is>
      </c>
      <c r="C6" s="30" t="inlineStr">
        <is>
          <t>决定风险偏好和资产定价斜率</t>
        </is>
      </c>
      <c r="D6" s="30" t="inlineStr">
        <is>
          <t>信贷结构、社融和货币供应决定实体融资需求与风险偏好</t>
        </is>
      </c>
    </row>
    <row r="7" ht="31" customHeight="1">
      <c r="A7" s="31" t="inlineStr">
        <is>
          <t>宏观调控</t>
        </is>
      </c>
      <c r="B7" s="31" t="inlineStr">
        <is>
          <t>政策是否托底，制度环境是否改善</t>
        </is>
      </c>
      <c r="C7" s="31" t="inlineStr">
        <is>
          <t>决定宏观下限和结构方向</t>
        </is>
      </c>
      <c r="D7" s="31" t="inlineStr">
        <is>
          <t>财政、货币政策共同影响增长预期、流动性和风险偏好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EB1B3"/>
    <outlinePr summaryBelow="1" summaryRight="1"/>
    <pageSetUpPr/>
  </sheetPr>
  <dimension ref="A1:F7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1" customHeight="1">
      <c r="A1" s="28" t="inlineStr">
        <is>
          <t>中国宏观分析框架三级指标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二级指标</t>
        </is>
      </c>
      <c r="C3" s="29" t="inlineStr">
        <is>
          <t>三级跟踪指标</t>
        </is>
      </c>
      <c r="D3" s="29" t="inlineStr">
        <is>
          <t>跟踪频率</t>
        </is>
      </c>
      <c r="E3" s="29" t="inlineStr">
        <is>
          <t>主要用途</t>
        </is>
      </c>
      <c r="F3" s="29" t="inlineStr">
        <is>
          <t>数据来源 / 备注</t>
        </is>
      </c>
    </row>
    <row r="4" ht="31" customHeight="1">
      <c r="A4" s="31" t="inlineStr">
        <is>
          <t>经济运行</t>
        </is>
      </c>
      <c r="B4" s="31" t="inlineStr">
        <is>
          <t>经济增长</t>
        </is>
      </c>
      <c r="C4" s="31" t="inlineStr">
        <is>
          <t>GDP总量（亿元）</t>
        </is>
      </c>
      <c r="D4" s="31" t="inlineStr">
        <is>
          <t>季度</t>
        </is>
      </c>
      <c r="E4" s="31" t="inlineStr">
        <is>
          <t>判断经济总量与利率中枢方向</t>
        </is>
      </c>
      <c r="F4" s="31" t="inlineStr">
        <is>
          <t>国家统计局 / 名义与实际值</t>
        </is>
      </c>
    </row>
    <row r="5" ht="31" customHeight="1">
      <c r="C5" s="30" t="inlineStr">
        <is>
          <t>GDP同比增速（%）</t>
        </is>
      </c>
      <c r="D5" s="30" t="inlineStr">
        <is>
          <t>季度</t>
        </is>
      </c>
      <c r="E5" s="30" t="inlineStr">
        <is>
          <t>判断经济总量与利率中枢方向</t>
        </is>
      </c>
      <c r="F5" s="30" t="inlineStr">
        <is>
          <t>国家统计局 / 按不变价计算</t>
        </is>
      </c>
    </row>
    <row r="6" ht="31" customHeight="1">
      <c r="C6" s="31" t="inlineStr">
        <is>
          <t>GDP环比增速（%）</t>
        </is>
      </c>
      <c r="D6" s="31" t="inlineStr">
        <is>
          <t>季度</t>
        </is>
      </c>
      <c r="E6" s="31" t="inlineStr">
        <is>
          <t>判断经济总量与利率中枢方向</t>
        </is>
      </c>
      <c r="F6" s="31" t="inlineStr">
        <is>
          <t>国家统计局 / 季节调整后</t>
        </is>
      </c>
    </row>
    <row r="7" ht="31" customHeight="1">
      <c r="C7" s="30" t="inlineStr">
        <is>
          <t>GDP平减指数</t>
        </is>
      </c>
      <c r="D7" s="30" t="inlineStr">
        <is>
          <t>季度</t>
        </is>
      </c>
      <c r="E7" s="30" t="inlineStr">
        <is>
          <t>判断经济总量与利率中枢方向</t>
        </is>
      </c>
      <c r="F7" s="30" t="inlineStr">
        <is>
          <t>推算 / 名义GDP/实际GDP</t>
        </is>
      </c>
    </row>
    <row r="8" ht="31" customHeight="1">
      <c r="B8" s="31" t="inlineStr">
        <is>
          <t>物价水平</t>
        </is>
      </c>
      <c r="C8" s="31" t="inlineStr">
        <is>
          <t>CPI同比（%）</t>
        </is>
      </c>
      <c r="D8" s="31" t="inlineStr">
        <is>
          <t>月度</t>
        </is>
      </c>
      <c r="E8" s="31" t="inlineStr">
        <is>
          <t>观察通缩/通胀压力和实际利率</t>
        </is>
      </c>
      <c r="F8" s="31" t="inlineStr">
        <is>
          <t>国家统计局 / 消费者价格指数</t>
        </is>
      </c>
    </row>
    <row r="9" ht="31" customHeight="1">
      <c r="C9" s="30" t="inlineStr">
        <is>
          <t>CPI环比（%）</t>
        </is>
      </c>
      <c r="D9" s="30" t="inlineStr">
        <is>
          <t>月度</t>
        </is>
      </c>
      <c r="E9" s="30" t="inlineStr">
        <is>
          <t>观察通缩/通胀压力和实际利率</t>
        </is>
      </c>
      <c r="F9" s="30" t="inlineStr">
        <is>
          <t>国家统计局</t>
        </is>
      </c>
    </row>
    <row r="10" ht="31" customHeight="1">
      <c r="C10" s="31" t="inlineStr">
        <is>
          <t>核心CPI同比（%）</t>
        </is>
      </c>
      <c r="D10" s="31" t="inlineStr">
        <is>
          <t>月度</t>
        </is>
      </c>
      <c r="E10" s="31" t="inlineStr">
        <is>
          <t>观察通缩/通胀压力和实际利率</t>
        </is>
      </c>
      <c r="F10" s="31" t="inlineStr">
        <is>
          <t>国家统计局 / 扣除食品能源</t>
        </is>
      </c>
    </row>
    <row r="11" ht="31" customHeight="1">
      <c r="C11" s="30" t="inlineStr">
        <is>
          <t>PPI同比（%）</t>
        </is>
      </c>
      <c r="D11" s="30" t="inlineStr">
        <is>
          <t>月度</t>
        </is>
      </c>
      <c r="E11" s="30" t="inlineStr">
        <is>
          <t>观察通缩/通胀压力和实际利率</t>
        </is>
      </c>
      <c r="F11" s="30" t="inlineStr">
        <is>
          <t>国家统计局 / 工业生产者出厂价格</t>
        </is>
      </c>
    </row>
    <row r="12" ht="31" customHeight="1">
      <c r="C12" s="31" t="inlineStr">
        <is>
          <t>PPI环比（%）</t>
        </is>
      </c>
      <c r="D12" s="31" t="inlineStr">
        <is>
          <t>月度</t>
        </is>
      </c>
      <c r="E12" s="31" t="inlineStr">
        <is>
          <t>观察通缩/通胀压力和实际利率</t>
        </is>
      </c>
      <c r="F12" s="31" t="inlineStr">
        <is>
          <t>国家统计局</t>
        </is>
      </c>
    </row>
    <row r="13" ht="31" customHeight="1">
      <c r="B13" s="30" t="inlineStr">
        <is>
          <t>国际收支</t>
        </is>
      </c>
      <c r="C13" s="30" t="inlineStr">
        <is>
          <t>外汇储备（亿美元）</t>
        </is>
      </c>
      <c r="D13" s="30" t="inlineStr">
        <is>
          <t>月度</t>
        </is>
      </c>
      <c r="E13" s="30" t="inlineStr">
        <is>
          <t>判断外需、汇率和跨境资金约束</t>
        </is>
      </c>
      <c r="F13" s="30" t="inlineStr">
        <is>
          <t>国家外汇管理局</t>
        </is>
      </c>
    </row>
    <row r="14" ht="31" customHeight="1">
      <c r="C14" s="31" t="inlineStr">
        <is>
          <t>美元兑人民币汇率</t>
        </is>
      </c>
      <c r="D14" s="31" t="inlineStr">
        <is>
          <t>日度</t>
        </is>
      </c>
      <c r="E14" s="31" t="inlineStr">
        <is>
          <t>判断外需、汇率和跨境资金约束</t>
        </is>
      </c>
      <c r="F14" s="31" t="inlineStr">
        <is>
          <t>外汇交易中心 / 中间价/即期价</t>
        </is>
      </c>
    </row>
    <row r="15" ht="31" customHeight="1">
      <c r="C15" s="30" t="inlineStr">
        <is>
          <t>CFETS人民币汇率指数</t>
        </is>
      </c>
      <c r="D15" s="30" t="inlineStr">
        <is>
          <t>周度</t>
        </is>
      </c>
      <c r="E15" s="30" t="inlineStr">
        <is>
          <t>判断外需、汇率和跨境资金约束</t>
        </is>
      </c>
      <c r="F15" s="30" t="inlineStr">
        <is>
          <t>中国外汇交易中心 / 一篮子货币</t>
        </is>
      </c>
    </row>
    <row r="16" ht="31" customHeight="1">
      <c r="C16" s="31" t="inlineStr">
        <is>
          <t>货物贸易顺差（亿美元）</t>
        </is>
      </c>
      <c r="D16" s="31" t="inlineStr">
        <is>
          <t>月度</t>
        </is>
      </c>
      <c r="E16" s="31" t="inlineStr">
        <is>
          <t>判断外需、汇率和跨境资金约束</t>
        </is>
      </c>
      <c r="F16" s="31" t="inlineStr">
        <is>
          <t>海关总署</t>
        </is>
      </c>
    </row>
    <row r="17" ht="31" customHeight="1">
      <c r="C17" s="30" t="inlineStr">
        <is>
          <t>服务贸易差额（亿美元）</t>
        </is>
      </c>
      <c r="D17" s="30" t="inlineStr">
        <is>
          <t>季度</t>
        </is>
      </c>
      <c r="E17" s="30" t="inlineStr">
        <is>
          <t>判断外需、汇率和跨境资金约束</t>
        </is>
      </c>
      <c r="F17" s="30" t="inlineStr">
        <is>
          <t>国家外汇管理局</t>
        </is>
      </c>
    </row>
    <row r="18" ht="31" customHeight="1">
      <c r="B18" s="31" t="inlineStr">
        <is>
          <t>就业市场</t>
        </is>
      </c>
      <c r="C18" s="31" t="inlineStr">
        <is>
          <t>城镇调查失业率（%）</t>
        </is>
      </c>
      <c r="D18" s="31" t="inlineStr">
        <is>
          <t>月度</t>
        </is>
      </c>
      <c r="E18" s="31" t="inlineStr">
        <is>
          <t>观察居民收入和政策托底压力</t>
        </is>
      </c>
      <c r="F18" s="31" t="inlineStr">
        <is>
          <t>国家统计局</t>
        </is>
      </c>
    </row>
    <row r="19" ht="31" customHeight="1">
      <c r="B19" s="30" t="inlineStr">
        <is>
          <t>景气指数</t>
        </is>
      </c>
      <c r="C19" s="30" t="inlineStr">
        <is>
          <t>制造业PMI（%）</t>
        </is>
      </c>
      <c r="D19" s="30" t="inlineStr">
        <is>
          <t>月度</t>
        </is>
      </c>
      <c r="E19" s="30" t="inlineStr">
        <is>
          <t>跟踪经济边际动能</t>
        </is>
      </c>
      <c r="F19" s="30" t="inlineStr">
        <is>
          <t>国家统计局 / 荣枯线50</t>
        </is>
      </c>
    </row>
    <row r="20" ht="31" customHeight="1">
      <c r="C20" s="31" t="inlineStr">
        <is>
          <t>非制造业PMI（%）</t>
        </is>
      </c>
      <c r="D20" s="31" t="inlineStr">
        <is>
          <t>月度</t>
        </is>
      </c>
      <c r="E20" s="31" t="inlineStr">
        <is>
          <t>跟踪经济边际动能</t>
        </is>
      </c>
      <c r="F20" s="31" t="inlineStr">
        <is>
          <t>国家统计局</t>
        </is>
      </c>
    </row>
    <row r="21" ht="31" customHeight="1">
      <c r="C21" s="30" t="inlineStr">
        <is>
          <t>综合PMI产出指数</t>
        </is>
      </c>
      <c r="D21" s="30" t="inlineStr">
        <is>
          <t>月度</t>
        </is>
      </c>
      <c r="E21" s="30" t="inlineStr">
        <is>
          <t>跟踪经济边际动能</t>
        </is>
      </c>
      <c r="F21" s="30" t="inlineStr">
        <is>
          <t>国家统计局</t>
        </is>
      </c>
    </row>
    <row r="22" ht="31" customHeight="1">
      <c r="C22" s="31" t="inlineStr">
        <is>
          <t>BCI中国企业经营状况指数</t>
        </is>
      </c>
      <c r="D22" s="31" t="inlineStr">
        <is>
          <t>月度</t>
        </is>
      </c>
      <c r="E22" s="31" t="inlineStr">
        <is>
          <t>跟踪经济边际动能</t>
        </is>
      </c>
      <c r="F22" s="31" t="inlineStr">
        <is>
          <t>长江商学院</t>
        </is>
      </c>
    </row>
    <row r="23" ht="31" customHeight="1">
      <c r="C23" s="30" t="inlineStr">
        <is>
          <t>消费者信心指数</t>
        </is>
      </c>
      <c r="D23" s="30" t="inlineStr">
        <is>
          <t>月度</t>
        </is>
      </c>
      <c r="E23" s="30" t="inlineStr">
        <is>
          <t>跟踪经济边际动能</t>
        </is>
      </c>
      <c r="F23" s="30" t="inlineStr">
        <is>
          <t>国家统计局</t>
        </is>
      </c>
    </row>
    <row r="24" ht="31" customHeight="1">
      <c r="A24" s="31" t="inlineStr">
        <is>
          <t>增长动力</t>
        </is>
      </c>
      <c r="B24" s="31" t="inlineStr">
        <is>
          <t>工业生产</t>
        </is>
      </c>
      <c r="C24" s="31" t="inlineStr">
        <is>
          <t>规模以上工业增加值增速（%）</t>
        </is>
      </c>
      <c r="D24" s="31" t="inlineStr">
        <is>
          <t>月度</t>
        </is>
      </c>
      <c r="E24" s="31" t="inlineStr">
        <is>
          <t>验证生产端景气</t>
        </is>
      </c>
      <c r="F24" s="31" t="inlineStr">
        <is>
          <t>国家统计局</t>
        </is>
      </c>
    </row>
    <row r="25" ht="31" customHeight="1">
      <c r="C25" s="30" t="inlineStr">
        <is>
          <t>工业企业利润总额增速（%）</t>
        </is>
      </c>
      <c r="D25" s="30" t="inlineStr">
        <is>
          <t>月度</t>
        </is>
      </c>
      <c r="E25" s="30" t="inlineStr">
        <is>
          <t>验证生产端景气</t>
        </is>
      </c>
      <c r="F25" s="30" t="inlineStr">
        <is>
          <t>国家统计局</t>
        </is>
      </c>
    </row>
    <row r="26" ht="31" customHeight="1">
      <c r="C26" s="31" t="inlineStr">
        <is>
          <t>工业企业产能利用率（%）</t>
        </is>
      </c>
      <c r="D26" s="31" t="inlineStr">
        <is>
          <t>季度</t>
        </is>
      </c>
      <c r="E26" s="31" t="inlineStr">
        <is>
          <t>验证生产端景气</t>
        </is>
      </c>
      <c r="F26" s="31" t="inlineStr">
        <is>
          <t>国家统计局</t>
        </is>
      </c>
    </row>
    <row r="27" ht="31" customHeight="1">
      <c r="C27" s="30" t="inlineStr">
        <is>
          <t>发电量增速（%）</t>
        </is>
      </c>
      <c r="D27" s="30" t="inlineStr">
        <is>
          <t>月度</t>
        </is>
      </c>
      <c r="E27" s="30" t="inlineStr">
        <is>
          <t>验证生产端景气</t>
        </is>
      </c>
      <c r="F27" s="30" t="inlineStr">
        <is>
          <t>国家统计局</t>
        </is>
      </c>
    </row>
    <row r="28" ht="31" customHeight="1">
      <c r="C28" s="31" t="inlineStr">
        <is>
          <t>铁路货运量增速（%）</t>
        </is>
      </c>
      <c r="D28" s="31" t="inlineStr">
        <is>
          <t>月度</t>
        </is>
      </c>
      <c r="E28" s="31" t="inlineStr">
        <is>
          <t>验证生产端景气</t>
        </is>
      </c>
      <c r="F28" s="31" t="inlineStr">
        <is>
          <t>交通运输部 / 克强指数成分</t>
        </is>
      </c>
    </row>
    <row r="29" ht="31" customHeight="1">
      <c r="B29" s="30" t="inlineStr">
        <is>
          <t>房地产</t>
        </is>
      </c>
      <c r="C29" s="30" t="inlineStr">
        <is>
          <t>商品房销售面积增速（%）</t>
        </is>
      </c>
      <c r="D29" s="30" t="inlineStr">
        <is>
          <t>月度</t>
        </is>
      </c>
      <c r="E29" s="30" t="inlineStr">
        <is>
          <t>判断地产链拖累与政策效果</t>
        </is>
      </c>
      <c r="F29" s="30" t="inlineStr">
        <is>
          <t>国家统计局 / 累计值</t>
        </is>
      </c>
    </row>
    <row r="30" ht="31" customHeight="1">
      <c r="C30" s="31" t="inlineStr">
        <is>
          <t>商品房销售额增速（%）</t>
        </is>
      </c>
      <c r="D30" s="31" t="inlineStr">
        <is>
          <t>月度</t>
        </is>
      </c>
      <c r="E30" s="31" t="inlineStr">
        <is>
          <t>判断地产链拖累与政策效果</t>
        </is>
      </c>
      <c r="F30" s="31" t="inlineStr">
        <is>
          <t>国家统计局</t>
        </is>
      </c>
    </row>
    <row r="31" ht="31" customHeight="1">
      <c r="C31" s="30" t="inlineStr">
        <is>
          <t>房屋新开工面积增速（%）</t>
        </is>
      </c>
      <c r="D31" s="30" t="inlineStr">
        <is>
          <t>月度</t>
        </is>
      </c>
      <c r="E31" s="30" t="inlineStr">
        <is>
          <t>判断地产链拖累与政策效果</t>
        </is>
      </c>
      <c r="F31" s="30" t="inlineStr">
        <is>
          <t>国家统计局</t>
        </is>
      </c>
    </row>
    <row r="32" ht="31" customHeight="1">
      <c r="C32" s="31" t="inlineStr">
        <is>
          <t>房屋竣工面积增速（%）</t>
        </is>
      </c>
      <c r="D32" s="31" t="inlineStr">
        <is>
          <t>月度</t>
        </is>
      </c>
      <c r="E32" s="31" t="inlineStr">
        <is>
          <t>判断地产链拖累与政策效果</t>
        </is>
      </c>
      <c r="F32" s="31" t="inlineStr">
        <is>
          <t>国家统计局</t>
        </is>
      </c>
    </row>
    <row r="33" ht="31" customHeight="1">
      <c r="C33" s="30" t="inlineStr">
        <is>
          <t>房地产开发企业土地购置面积增速（%）</t>
        </is>
      </c>
      <c r="D33" s="30" t="inlineStr">
        <is>
          <t>月度</t>
        </is>
      </c>
      <c r="E33" s="30" t="inlineStr">
        <is>
          <t>判断地产链拖累与政策效果</t>
        </is>
      </c>
      <c r="F33" s="30" t="inlineStr">
        <is>
          <t>国家统计局</t>
        </is>
      </c>
    </row>
    <row r="34" ht="31" customHeight="1">
      <c r="C34" s="31" t="inlineStr">
        <is>
          <t>70个大中城市新建商品住宅价格指数（%）</t>
        </is>
      </c>
      <c r="D34" s="31" t="inlineStr">
        <is>
          <t>月度</t>
        </is>
      </c>
      <c r="E34" s="31" t="inlineStr">
        <is>
          <t>判断地产链拖累与政策效果</t>
        </is>
      </c>
      <c r="F34" s="31" t="inlineStr">
        <is>
          <t>国家统计局 / 同比/环比</t>
        </is>
      </c>
    </row>
    <row r="35" ht="31" customHeight="1">
      <c r="C35" s="30" t="inlineStr">
        <is>
          <t>国房景气指数</t>
        </is>
      </c>
      <c r="D35" s="30" t="inlineStr">
        <is>
          <t>月度</t>
        </is>
      </c>
      <c r="E35" s="30" t="inlineStr">
        <is>
          <t>判断地产链拖累与政策效果</t>
        </is>
      </c>
      <c r="F35" s="30" t="inlineStr">
        <is>
          <t>国家统计局</t>
        </is>
      </c>
    </row>
    <row r="36" ht="31" customHeight="1">
      <c r="C36" s="31" t="inlineStr">
        <is>
          <t>房地产开发企业资金来源增速（%）</t>
        </is>
      </c>
      <c r="D36" s="31" t="inlineStr">
        <is>
          <t>月度</t>
        </is>
      </c>
      <c r="E36" s="31" t="inlineStr">
        <is>
          <t>判断地产链拖累与政策效果</t>
        </is>
      </c>
      <c r="F36" s="31" t="inlineStr">
        <is>
          <t>国家统计局</t>
        </is>
      </c>
    </row>
    <row r="37" ht="31" customHeight="1">
      <c r="B37" s="30" t="inlineStr">
        <is>
          <t>投资</t>
        </is>
      </c>
      <c r="C37" s="30" t="inlineStr">
        <is>
          <t>固定资产投资（FAI）增速（%）</t>
        </is>
      </c>
      <c r="D37" s="30" t="inlineStr">
        <is>
          <t>月度</t>
        </is>
      </c>
      <c r="E37" s="30" t="inlineStr">
        <is>
          <t>观察基建、制造业和地产投资分化</t>
        </is>
      </c>
      <c r="F37" s="30" t="inlineStr">
        <is>
          <t>国家统计局 / 不含农户</t>
        </is>
      </c>
    </row>
    <row r="38" ht="31" customHeight="1">
      <c r="C38" s="31" t="inlineStr">
        <is>
          <t>基建投资增速（%）</t>
        </is>
      </c>
      <c r="D38" s="31" t="inlineStr">
        <is>
          <t>月度</t>
        </is>
      </c>
      <c r="E38" s="31" t="inlineStr">
        <is>
          <t>观察基建、制造业和地产投资分化</t>
        </is>
      </c>
      <c r="F38" s="31" t="inlineStr">
        <is>
          <t>国家统计局 / 不含电力</t>
        </is>
      </c>
    </row>
    <row r="39" ht="31" customHeight="1">
      <c r="C39" s="30" t="inlineStr">
        <is>
          <t>制造业投资增速（%）</t>
        </is>
      </c>
      <c r="D39" s="30" t="inlineStr">
        <is>
          <t>月度</t>
        </is>
      </c>
      <c r="E39" s="30" t="inlineStr">
        <is>
          <t>观察基建、制造业和地产投资分化</t>
        </is>
      </c>
      <c r="F39" s="30" t="inlineStr">
        <is>
          <t>国家统计局</t>
        </is>
      </c>
    </row>
    <row r="40" ht="31" customHeight="1">
      <c r="C40" s="31" t="inlineStr">
        <is>
          <t>房地产开发投资增速（%）</t>
        </is>
      </c>
      <c r="D40" s="31" t="inlineStr">
        <is>
          <t>月度</t>
        </is>
      </c>
      <c r="E40" s="31" t="inlineStr">
        <is>
          <t>观察基建、制造业和地产投资分化</t>
        </is>
      </c>
      <c r="F40" s="31" t="inlineStr">
        <is>
          <t>国家统计局</t>
        </is>
      </c>
    </row>
    <row r="41" ht="31" customHeight="1">
      <c r="C41" s="30" t="inlineStr">
        <is>
          <t>民间固定资产投资增速（%）</t>
        </is>
      </c>
      <c r="D41" s="30" t="inlineStr">
        <is>
          <t>月度</t>
        </is>
      </c>
      <c r="E41" s="30" t="inlineStr">
        <is>
          <t>观察基建、制造业和地产投资分化</t>
        </is>
      </c>
      <c r="F41" s="30" t="inlineStr">
        <is>
          <t>国家统计局</t>
        </is>
      </c>
    </row>
    <row r="42" ht="31" customHeight="1">
      <c r="C42" s="31" t="inlineStr">
        <is>
          <t>高技术产业投资增速（%）</t>
        </is>
      </c>
      <c r="D42" s="31" t="inlineStr">
        <is>
          <t>月度</t>
        </is>
      </c>
      <c r="E42" s="31" t="inlineStr">
        <is>
          <t>观察基建、制造业和地产投资分化</t>
        </is>
      </c>
      <c r="F42" s="31" t="inlineStr">
        <is>
          <t>国家统计局</t>
        </is>
      </c>
    </row>
    <row r="43" ht="31" customHeight="1">
      <c r="B43" s="30" t="inlineStr">
        <is>
          <t>消费</t>
        </is>
      </c>
      <c r="C43" s="30" t="inlineStr">
        <is>
          <t>社会消费品零售总额增速（%）</t>
        </is>
      </c>
      <c r="D43" s="30" t="inlineStr">
        <is>
          <t>月度</t>
        </is>
      </c>
      <c r="E43" s="30" t="inlineStr">
        <is>
          <t>判断内需和居民修复质量</t>
        </is>
      </c>
      <c r="F43" s="30" t="inlineStr">
        <is>
          <t>国家统计局 / 名义/实际增速</t>
        </is>
      </c>
    </row>
    <row r="44" ht="31" customHeight="1">
      <c r="B44" s="31" t="inlineStr">
        <is>
          <t>进出口</t>
        </is>
      </c>
      <c r="C44" s="31" t="inlineStr">
        <is>
          <t>出口金额增速（美元计，%）</t>
        </is>
      </c>
      <c r="D44" s="31" t="inlineStr">
        <is>
          <t>月度</t>
        </is>
      </c>
      <c r="E44" s="31" t="inlineStr">
        <is>
          <t>观察外需韧性和全球周期</t>
        </is>
      </c>
      <c r="F44" s="31" t="inlineStr">
        <is>
          <t>海关总署</t>
        </is>
      </c>
    </row>
    <row r="45" ht="31" customHeight="1">
      <c r="C45" s="30" t="inlineStr">
        <is>
          <t>进口金额增速（美元计，%）</t>
        </is>
      </c>
      <c r="D45" s="30" t="inlineStr">
        <is>
          <t>月度</t>
        </is>
      </c>
      <c r="E45" s="30" t="inlineStr">
        <is>
          <t>观察外需韧性和全球周期</t>
        </is>
      </c>
      <c r="F45" s="30" t="inlineStr">
        <is>
          <t>海关总署</t>
        </is>
      </c>
    </row>
    <row r="46" ht="31" customHeight="1">
      <c r="C46" s="31" t="inlineStr">
        <is>
          <t>贸易差额（亿美元）</t>
        </is>
      </c>
      <c r="D46" s="31" t="inlineStr">
        <is>
          <t>月度</t>
        </is>
      </c>
      <c r="E46" s="31" t="inlineStr">
        <is>
          <t>观察外需韧性和全球周期</t>
        </is>
      </c>
      <c r="F46" s="31" t="inlineStr">
        <is>
          <t>海关总署</t>
        </is>
      </c>
    </row>
    <row r="47" ht="31" customHeight="1">
      <c r="C47" s="30" t="inlineStr">
        <is>
          <t>出口集装箱运价指数（CCFI）</t>
        </is>
      </c>
      <c r="D47" s="30" t="inlineStr">
        <is>
          <t>周度</t>
        </is>
      </c>
      <c r="E47" s="30" t="inlineStr">
        <is>
          <t>观察外需韧性和全球周期</t>
        </is>
      </c>
      <c r="F47" s="30" t="inlineStr">
        <is>
          <t>上海航运交易所</t>
        </is>
      </c>
    </row>
    <row r="48" ht="31" customHeight="1">
      <c r="A48" s="31" t="inlineStr">
        <is>
          <t>金融信贷</t>
        </is>
      </c>
      <c r="B48" s="31" t="inlineStr">
        <is>
          <t>信贷结构</t>
        </is>
      </c>
      <c r="C48" s="31" t="inlineStr">
        <is>
          <t>居民户短期贷款增量（亿元）</t>
        </is>
      </c>
      <c r="D48" s="31" t="inlineStr">
        <is>
          <t>月度</t>
        </is>
      </c>
      <c r="E48" s="31" t="inlineStr">
        <is>
          <t>判断实体融资需求质量</t>
        </is>
      </c>
      <c r="F48" s="31" t="inlineStr">
        <is>
          <t>中国人民银行</t>
        </is>
      </c>
    </row>
    <row r="49" ht="31" customHeight="1">
      <c r="C49" s="30" t="inlineStr">
        <is>
          <t>居民户中长期贷款增量（亿元）</t>
        </is>
      </c>
      <c r="D49" s="30" t="inlineStr">
        <is>
          <t>月度</t>
        </is>
      </c>
      <c r="E49" s="30" t="inlineStr">
        <is>
          <t>判断实体融资需求质量</t>
        </is>
      </c>
      <c r="F49" s="30" t="inlineStr">
        <is>
          <t>中国人民银行 / 主要反映房贷</t>
        </is>
      </c>
    </row>
    <row r="50" ht="31" customHeight="1">
      <c r="C50" s="31" t="inlineStr">
        <is>
          <t>非金融企业短期贷款增量（亿元）</t>
        </is>
      </c>
      <c r="D50" s="31" t="inlineStr">
        <is>
          <t>月度</t>
        </is>
      </c>
      <c r="E50" s="31" t="inlineStr">
        <is>
          <t>判断实体融资需求质量</t>
        </is>
      </c>
      <c r="F50" s="31" t="inlineStr">
        <is>
          <t>中国人民银行</t>
        </is>
      </c>
    </row>
    <row r="51" ht="31" customHeight="1">
      <c r="C51" s="30" t="inlineStr">
        <is>
          <t>非金融企业中长期贷款增量（亿元）</t>
        </is>
      </c>
      <c r="D51" s="30" t="inlineStr">
        <is>
          <t>月度</t>
        </is>
      </c>
      <c r="E51" s="30" t="inlineStr">
        <is>
          <t>判断实体融资需求质量</t>
        </is>
      </c>
      <c r="F51" s="30" t="inlineStr">
        <is>
          <t>中国人民银行 / 反映资本开支</t>
        </is>
      </c>
    </row>
    <row r="52" ht="31" customHeight="1">
      <c r="C52" s="31" t="inlineStr">
        <is>
          <t>社融规模存量增速（%）</t>
        </is>
      </c>
      <c r="D52" s="31" t="inlineStr">
        <is>
          <t>月度</t>
        </is>
      </c>
      <c r="E52" s="31" t="inlineStr">
        <is>
          <t>观察信用周期和融资总量</t>
        </is>
      </c>
      <c r="F52" s="31" t="inlineStr">
        <is>
          <t>中国人民银行</t>
        </is>
      </c>
    </row>
    <row r="53" ht="31" customHeight="1">
      <c r="C53" s="30" t="inlineStr">
        <is>
          <t>人民币贷款存量增速（%）</t>
        </is>
      </c>
      <c r="D53" s="30" t="inlineStr">
        <is>
          <t>月度</t>
        </is>
      </c>
      <c r="E53" s="30" t="inlineStr">
        <is>
          <t>观察信用周期和融资总量</t>
        </is>
      </c>
      <c r="F53" s="30" t="inlineStr">
        <is>
          <t>中国人民银行</t>
        </is>
      </c>
    </row>
    <row r="54" ht="31" customHeight="1">
      <c r="C54" s="31" t="inlineStr">
        <is>
          <t>M0增速（%）</t>
        </is>
      </c>
      <c r="D54" s="31" t="inlineStr">
        <is>
          <t>月度</t>
        </is>
      </c>
      <c r="E54" s="31" t="inlineStr">
        <is>
          <t>判断资金活化和风险偏好</t>
        </is>
      </c>
      <c r="F54" s="31" t="inlineStr">
        <is>
          <t>中国人民银行 / 流通中现金</t>
        </is>
      </c>
    </row>
    <row r="55" ht="31" customHeight="1">
      <c r="C55" s="30" t="inlineStr">
        <is>
          <t>M1增速（%）</t>
        </is>
      </c>
      <c r="D55" s="30" t="inlineStr">
        <is>
          <t>月度</t>
        </is>
      </c>
      <c r="E55" s="30" t="inlineStr">
        <is>
          <t>判断资金活化和风险偏好</t>
        </is>
      </c>
      <c r="F55" s="30" t="inlineStr">
        <is>
          <t>中国人民银行 / 狭义货币</t>
        </is>
      </c>
    </row>
    <row r="56" ht="31" customHeight="1">
      <c r="C56" s="31" t="inlineStr">
        <is>
          <t>M2增速（%）</t>
        </is>
      </c>
      <c r="D56" s="31" t="inlineStr">
        <is>
          <t>月度</t>
        </is>
      </c>
      <c r="E56" s="31" t="inlineStr">
        <is>
          <t>判断资金活化和风险偏好</t>
        </is>
      </c>
      <c r="F56" s="31" t="inlineStr">
        <is>
          <t>中国人民银行 / 广义货币</t>
        </is>
      </c>
    </row>
    <row r="57" ht="31" customHeight="1">
      <c r="C57" s="30" t="inlineStr">
        <is>
          <t>M1-M2剪刀差</t>
        </is>
      </c>
      <c r="D57" s="30" t="inlineStr">
        <is>
          <t>月度</t>
        </is>
      </c>
      <c r="E57" s="30" t="inlineStr">
        <is>
          <t>判断资金活化和风险偏好</t>
        </is>
      </c>
      <c r="F57" s="30" t="inlineStr">
        <is>
          <t>推算 / 反映企业活存</t>
        </is>
      </c>
    </row>
    <row r="58" ht="31" customHeight="1">
      <c r="A58" s="31" t="inlineStr">
        <is>
          <t>政策制度</t>
        </is>
      </c>
      <c r="B58" s="31" t="inlineStr">
        <is>
          <t>产业政策</t>
        </is>
      </c>
      <c r="C58" s="31" t="inlineStr">
        <is>
          <t>资本市场核心会议跟踪.xlsx</t>
        </is>
      </c>
      <c r="E58" s="31" t="inlineStr">
        <is>
          <t>识别结构性投资主线</t>
        </is>
      </c>
      <c r="F58" s="31" t="inlineStr">
        <is>
          <t>"C:\Users\熊林鹏\Desktop\大模型\资本市场核心会议跟踪.xlsx"</t>
        </is>
      </c>
    </row>
    <row r="59" ht="31" customHeight="1">
      <c r="B59" s="30" t="inlineStr">
        <is>
          <t>财政政策</t>
        </is>
      </c>
      <c r="C59" s="30" t="inlineStr">
        <is>
          <t>财政赤字率（%）</t>
        </is>
      </c>
      <c r="D59" s="30" t="inlineStr">
        <is>
          <t>年度</t>
        </is>
      </c>
      <c r="E59" s="30" t="inlineStr">
        <is>
          <t>评估财政托底力度</t>
        </is>
      </c>
      <c r="F59" s="30" t="inlineStr">
        <is>
          <t>全国人大 / 一般债+专项债</t>
        </is>
      </c>
    </row>
    <row r="60" ht="31" customHeight="1">
      <c r="C60" s="31" t="inlineStr">
        <is>
          <t>全国公共财政收入增速（%）</t>
        </is>
      </c>
      <c r="D60" s="31" t="inlineStr">
        <is>
          <t>月度</t>
        </is>
      </c>
      <c r="E60" s="31" t="inlineStr">
        <is>
          <t>评估财政托底力度</t>
        </is>
      </c>
      <c r="F60" s="31" t="inlineStr">
        <is>
          <t>财政部 / 累计同比</t>
        </is>
      </c>
    </row>
    <row r="61" ht="31" customHeight="1">
      <c r="C61" s="30" t="inlineStr">
        <is>
          <t>全国公共财政支出增速（%）</t>
        </is>
      </c>
      <c r="D61" s="30" t="inlineStr">
        <is>
          <t>月度</t>
        </is>
      </c>
      <c r="E61" s="30" t="inlineStr">
        <is>
          <t>评估财政托底力度</t>
        </is>
      </c>
      <c r="F61" s="30" t="inlineStr">
        <is>
          <t>财政部 / 累计同比</t>
        </is>
      </c>
    </row>
    <row r="62" ht="31" customHeight="1">
      <c r="B62" s="31" t="inlineStr">
        <is>
          <t>货币政策</t>
        </is>
      </c>
      <c r="C62" s="31" t="inlineStr">
        <is>
          <t>1年期MLF利率（%）</t>
        </is>
      </c>
      <c r="D62" s="31" t="inlineStr">
        <is>
          <t>不定期</t>
        </is>
      </c>
      <c r="E62" s="31" t="inlineStr">
        <is>
          <t>评估流动性和利率政策方向</t>
        </is>
      </c>
      <c r="F62" s="31" t="inlineStr">
        <is>
          <t>中国人民银行 / 中期政策利率</t>
        </is>
      </c>
    </row>
    <row r="63" ht="31" customHeight="1">
      <c r="C63" s="30" t="inlineStr">
        <is>
          <t>1年期LPR（%）</t>
        </is>
      </c>
      <c r="D63" s="30" t="inlineStr">
        <is>
          <t>月度</t>
        </is>
      </c>
      <c r="E63" s="30" t="inlineStr">
        <is>
          <t>评估流动性和利率政策方向</t>
        </is>
      </c>
      <c r="F63" s="30" t="inlineStr">
        <is>
          <t>全国银行间同业拆借中心 / 贷款基准利率</t>
        </is>
      </c>
    </row>
    <row r="64" ht="31" customHeight="1">
      <c r="C64" s="31" t="inlineStr">
        <is>
          <t>5年期以上LPR（%）</t>
        </is>
      </c>
      <c r="D64" s="31" t="inlineStr">
        <is>
          <t>月度</t>
        </is>
      </c>
      <c r="E64" s="31" t="inlineStr">
        <is>
          <t>评估流动性和利率政策方向</t>
        </is>
      </c>
      <c r="F64" s="31" t="inlineStr">
        <is>
          <t>全国银行间同业拆借中心 / 房贷定价基准</t>
        </is>
      </c>
    </row>
    <row r="65" ht="31" customHeight="1">
      <c r="C65" s="30" t="inlineStr">
        <is>
          <t>DR007（%）</t>
        </is>
      </c>
      <c r="D65" s="30" t="inlineStr">
        <is>
          <t>日度</t>
        </is>
      </c>
      <c r="E65" s="30" t="inlineStr">
        <is>
          <t>评估流动性和利率政策方向</t>
        </is>
      </c>
      <c r="F65" s="30" t="inlineStr">
        <is>
          <t>中国货币网 / 银行间7天回购利率</t>
        </is>
      </c>
    </row>
    <row r="66" ht="31" customHeight="1">
      <c r="C66" s="31" t="inlineStr">
        <is>
          <t>R007（%）</t>
        </is>
      </c>
      <c r="D66" s="31" t="inlineStr">
        <is>
          <t>日度</t>
        </is>
      </c>
      <c r="E66" s="31" t="inlineStr">
        <is>
          <t>评估流动性和利率政策方向</t>
        </is>
      </c>
      <c r="F66" s="31" t="inlineStr">
        <is>
          <t>中国货币网 / 全市场7天回购利率</t>
        </is>
      </c>
    </row>
    <row r="67" ht="31" customHeight="1">
      <c r="C67" s="30" t="inlineStr">
        <is>
          <t>10年期国债收益率（%）</t>
        </is>
      </c>
      <c r="D67" s="30" t="inlineStr">
        <is>
          <t>日度</t>
        </is>
      </c>
      <c r="E67" s="30" t="inlineStr">
        <is>
          <t>评估流动性和利率政策方向</t>
        </is>
      </c>
      <c r="F67" s="30" t="inlineStr">
        <is>
          <t>中债估值/交易所</t>
        </is>
      </c>
    </row>
    <row r="68" ht="31" customHeight="1">
      <c r="C68" s="31" t="inlineStr">
        <is>
          <t>1年期国债收益率（%）</t>
        </is>
      </c>
      <c r="D68" s="31" t="inlineStr">
        <is>
          <t>日度</t>
        </is>
      </c>
      <c r="E68" s="31" t="inlineStr">
        <is>
          <t>评估流动性和利率政策方向</t>
        </is>
      </c>
      <c r="F68" s="31" t="inlineStr">
        <is>
          <t>中债估值</t>
        </is>
      </c>
    </row>
    <row r="69" ht="31" customHeight="1">
      <c r="C69" s="30" t="inlineStr">
        <is>
          <t>期限利差（10Y-1Y，bp）</t>
        </is>
      </c>
      <c r="D69" s="30" t="inlineStr">
        <is>
          <t>日度</t>
        </is>
      </c>
      <c r="E69" s="30" t="inlineStr">
        <is>
          <t>评估流动性和利率政策方向</t>
        </is>
      </c>
      <c r="F69" s="30" t="inlineStr">
        <is>
          <t>推算</t>
        </is>
      </c>
    </row>
    <row r="70" ht="31" customHeight="1">
      <c r="C70" s="31" t="inlineStr">
        <is>
          <t>信用利差（AAA企业债-国债，bp）</t>
        </is>
      </c>
      <c r="D70" s="31" t="inlineStr">
        <is>
          <t>日度</t>
        </is>
      </c>
      <c r="E70" s="31" t="inlineStr">
        <is>
          <t>评估流动性和利率政策方向</t>
        </is>
      </c>
      <c r="F70" s="31" t="inlineStr">
        <is>
          <t>推算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EB1B3"/>
    <outlinePr summaryBelow="1" summaryRight="1"/>
    <pageSetUpPr/>
  </sheetPr>
  <dimension ref="A1:G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1" customHeight="1">
      <c r="A1" s="28" t="inlineStr">
        <is>
          <t>中国宏观评分与权重标准</t>
        </is>
      </c>
    </row>
    <row r="2" ht="31" customHeight="1">
      <c r="A2" s="32" t="inlineStr">
        <is>
          <t>评分口径以宏观状态识别为主：宏观评级不直接给出资产买卖结论，而是为大类资产分析提供背景约束。政策制度是“调节项”，一旦出现重大政策转向，它的实际影响权重要临时提高</t>
        </is>
      </c>
    </row>
    <row r="3" ht="31" customHeight="1">
      <c r="A3" s="29" t="inlineStr">
        <is>
          <t>一级维度</t>
        </is>
      </c>
      <c r="B3" s="29" t="inlineStr">
        <is>
          <t>建议权重</t>
        </is>
      </c>
      <c r="C3" s="29" t="inlineStr">
        <is>
          <t>5分</t>
        </is>
      </c>
      <c r="D3" s="29" t="inlineStr">
        <is>
          <t>4分</t>
        </is>
      </c>
      <c r="E3" s="29" t="inlineStr">
        <is>
          <t>3分</t>
        </is>
      </c>
      <c r="F3" s="29" t="inlineStr">
        <is>
          <t>2分</t>
        </is>
      </c>
      <c r="G3" s="29" t="inlineStr">
        <is>
          <t>1分</t>
        </is>
      </c>
    </row>
    <row r="4" ht="31" customHeight="1">
      <c r="A4" s="31" t="inlineStr">
        <is>
          <t>经济运行</t>
        </is>
      </c>
      <c r="B4" s="33" t="n">
        <v>0.3</v>
      </c>
      <c r="C4" s="31" t="inlineStr">
        <is>
          <t>增长、价格、就业共振改善</t>
        </is>
      </c>
      <c r="D4" s="31" t="inlineStr">
        <is>
          <t>经济温和修复</t>
        </is>
      </c>
      <c r="E4" s="31" t="inlineStr">
        <is>
          <t>中性平稳</t>
        </is>
      </c>
      <c r="F4" s="31" t="inlineStr">
        <is>
          <t>价格/就业拖累明显</t>
        </is>
      </c>
      <c r="G4" s="31" t="inlineStr">
        <is>
          <t>经济明显下行</t>
        </is>
      </c>
    </row>
    <row r="5" ht="31" customHeight="1">
      <c r="A5" s="30" t="inlineStr">
        <is>
          <t>增长动力</t>
        </is>
      </c>
      <c r="B5" s="34" t="n">
        <v>0.25</v>
      </c>
      <c r="C5" s="30" t="inlineStr">
        <is>
          <t>生产、消费、投资、出口共振</t>
        </is>
      </c>
      <c r="D5" s="30" t="inlineStr">
        <is>
          <t>结构性改善</t>
        </is>
      </c>
      <c r="E5" s="30" t="inlineStr">
        <is>
          <t>分化但可控</t>
        </is>
      </c>
      <c r="F5" s="30" t="inlineStr">
        <is>
          <t>地产或消费明显拖累</t>
        </is>
      </c>
      <c r="G5" s="30" t="inlineStr">
        <is>
          <t>需求系统性走弱</t>
        </is>
      </c>
    </row>
    <row r="6" ht="31" customHeight="1">
      <c r="A6" s="31" t="inlineStr">
        <is>
          <t>金融信贷</t>
        </is>
      </c>
      <c r="B6" s="33" t="n">
        <v>0.25</v>
      </c>
      <c r="C6" s="31" t="inlineStr">
        <is>
          <t>信用强扩张且结构改善</t>
        </is>
      </c>
      <c r="D6" s="31" t="inlineStr">
        <is>
          <t>信用边际改善</t>
        </is>
      </c>
      <c r="E6" s="31" t="inlineStr">
        <is>
          <t>信用平稳</t>
        </is>
      </c>
      <c r="F6" s="31" t="inlineStr">
        <is>
          <t>融资需求偏弱</t>
        </is>
      </c>
      <c r="G6" s="31" t="inlineStr">
        <is>
          <t>信用收缩或风险暴露</t>
        </is>
      </c>
    </row>
    <row r="7" ht="31" customHeight="1">
      <c r="A7" s="30" t="inlineStr">
        <is>
          <t>政策制度</t>
        </is>
      </c>
      <c r="B7" s="34" t="n">
        <v>0.2</v>
      </c>
      <c r="C7" s="30" t="inlineStr">
        <is>
          <t>财政货币产业强共振</t>
        </is>
      </c>
      <c r="D7" s="30" t="inlineStr">
        <is>
          <t>政策积极托底</t>
        </is>
      </c>
      <c r="E7" s="30" t="inlineStr">
        <is>
          <t>政策中性托底</t>
        </is>
      </c>
      <c r="F7" s="30" t="inlineStr">
        <is>
          <t>政策传导不足</t>
        </is>
      </c>
      <c r="G7" s="30" t="inlineStr">
        <is>
          <t>政策明显收缩或失效</t>
        </is>
      </c>
    </row>
    <row r="8" ht="31" customHeight="1"/>
    <row r="9" ht="31" customHeight="1">
      <c r="A9" s="29" t="inlineStr">
        <is>
          <t>评级区间</t>
        </is>
      </c>
      <c r="B9" s="35" t="inlineStr">
        <is>
          <t>宏观状态判断</t>
        </is>
      </c>
      <c r="C9" s="29" t="inlineStr">
        <is>
          <t>宏观含义</t>
        </is>
      </c>
      <c r="D9" s="29" t="inlineStr">
        <is>
          <t>对后续资产分析的约束</t>
        </is>
      </c>
      <c r="E9" s="29" t="inlineStr">
        <is>
          <t>重点验证指标</t>
        </is>
      </c>
    </row>
    <row r="10" ht="31" customHeight="1">
      <c r="A10" s="30" t="inlineStr">
        <is>
          <t>4.2 - 5.0 I档 强复苏</t>
        </is>
      </c>
      <c r="B10" s="36" t="inlineStr">
        <is>
          <t>增长、信用、盈利、通胀预期共振向上</t>
        </is>
      </c>
      <c r="C10" s="30" t="inlineStr">
        <is>
          <t>经济处于较强扩张阶段，宏观总量环境较好，但不等于风险资产一定仍有高赔率。</t>
        </is>
      </c>
      <c r="D10" s="30" t="inlineStr">
        <is>
          <t>后续资产分析需重点检查是否已充分定价、估值是否透支、仓位是否拥挤、政策是否开始边际收敛。</t>
        </is>
      </c>
      <c r="E10" s="30" t="inlineStr">
        <is>
          <t>权益估值分位、盈利上修斜率、信用扩张斜率、政策边际、拥挤度</t>
        </is>
      </c>
    </row>
    <row r="11" ht="31" customHeight="1">
      <c r="A11" s="31" t="inlineStr">
        <is>
          <t>3.4 - 4.2 II档 温和改善</t>
        </is>
      </c>
      <c r="B11" s="37" t="inlineStr">
        <is>
          <t>经济边际改善，政策托底有效，信用或盈利开始修复</t>
        </is>
      </c>
      <c r="C11" s="31" t="inlineStr">
        <is>
          <t>宏观从弱修复走向改善，通常是风险偏好和盈利预期修复较有弹性的阶段。</t>
        </is>
      </c>
      <c r="D11" s="30" t="inlineStr">
        <is>
          <t>后续资产分析可重点寻找顺周期、成长和风险偏好修复机会，但仍需验证定价位置和持续性。</t>
        </is>
      </c>
      <c r="E11" s="30" t="inlineStr">
        <is>
          <t>PMI连续性、社融结构、企业盈利、地产销售、政策落地</t>
        </is>
      </c>
    </row>
    <row r="12" ht="31" customHeight="1">
      <c r="A12" s="30" t="inlineStr">
        <is>
          <t>2.6 - 3.4 III档 中性平稳</t>
        </is>
      </c>
      <c r="B12" s="36" t="inlineStr">
        <is>
          <t>总量稳定但结构分化，经济没有明显上行或下行趋势</t>
        </is>
      </c>
      <c r="C12" s="30" t="inlineStr">
        <is>
          <t>宏观环境托底但内生动能一般，单纯依赖总量贝塔的胜率不高。</t>
        </is>
      </c>
      <c r="D12" s="30" t="inlineStr">
        <is>
          <t>后续资产分析应以结构、估值、现金流、政策方向和资产自身赔率为主，不宜直接由宏观评级推导买卖动作。</t>
        </is>
      </c>
      <c r="E12" s="30" t="inlineStr">
        <is>
          <t>结构分化、行业景气、股债性价比、红利可持续性、利率位置</t>
        </is>
      </c>
    </row>
    <row r="13" ht="31" customHeight="1">
      <c r="A13" s="31" t="inlineStr">
        <is>
          <t>1.8 - 2.6 IV档 偏弱承压</t>
        </is>
      </c>
      <c r="B13" s="37" t="inlineStr">
        <is>
          <t>增长、价格、信用或就业存在压力，政策托底需求上升</t>
        </is>
      </c>
      <c r="C13" s="31" t="inlineStr">
        <is>
          <t>宏观处于承压区间，政策预期可能升温，但基本面验证仍不足。</t>
        </is>
      </c>
      <c r="D13" s="30" t="inlineStr">
        <is>
          <t>后续资产分析需重点关注防守属性、政策拐点、风险出清程度和低估资产的左侧布局价值。</t>
        </is>
      </c>
      <c r="E13" s="30" t="inlineStr">
        <is>
          <t>政策拐点、信用底、库存周期、盈利下修、流动性压力</t>
        </is>
      </c>
    </row>
    <row r="14" ht="31" customHeight="1">
      <c r="A14" s="30" t="inlineStr">
        <is>
          <t>1.0 - 1.8 V档 明显下行</t>
        </is>
      </c>
      <c r="B14" s="36" t="inlineStr">
        <is>
          <t>经济进入明显下行或风险暴露阶段</t>
        </is>
      </c>
      <c r="C14" s="30" t="inlineStr">
        <is>
          <t>宏观风险处于高位，流动性、信用和盈利下修压力可能同步上升。</t>
        </is>
      </c>
      <c r="D14" s="30" t="inlineStr">
        <is>
          <t>后续资产分析应优先评估流动性风险、信用风险、盈利下修和政策底是否出现，而非简单机械增配防守资产。</t>
        </is>
      </c>
      <c r="E14" s="30" t="inlineStr">
        <is>
          <t>信用利差、失业率、社融收缩、政策底、市场出清、风险溢价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EB1B3"/>
    <outlinePr summaryBelow="1" summaryRight="1"/>
    <pageSetUpPr/>
  </sheetPr>
  <dimension ref="A1:J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31" customHeight="1">
      <c r="A1" s="38" t="inlineStr">
        <is>
          <t>一级维度</t>
        </is>
      </c>
      <c r="B1" s="38" t="inlineStr">
        <is>
          <t>二级维度</t>
        </is>
      </c>
      <c r="C1" s="38" t="inlineStr">
        <is>
          <t>三级指标</t>
        </is>
      </c>
      <c r="D1" s="38" t="inlineStr">
        <is>
          <t>1分(明显偏弱)</t>
        </is>
      </c>
      <c r="E1" s="38" t="inlineStr">
        <is>
          <t>2分(偏弱)</t>
        </is>
      </c>
      <c r="F1" s="38" t="inlineStr">
        <is>
          <t>3分(中性)</t>
        </is>
      </c>
      <c r="G1" s="38" t="inlineStr">
        <is>
          <t>4分(偏强)</t>
        </is>
      </c>
      <c r="H1" s="38" t="inlineStr">
        <is>
          <t>5分(明显偏强)</t>
        </is>
      </c>
      <c r="I1" s="38" t="inlineStr">
        <is>
          <t>打分逻辑</t>
        </is>
      </c>
      <c r="J1" s="38" t="inlineStr">
        <is>
          <t>参考依据</t>
        </is>
      </c>
    </row>
    <row r="2" ht="31" customHeight="1">
      <c r="A2" s="39" t="inlineStr">
        <is>
          <t>经济运行</t>
        </is>
      </c>
      <c r="B2" s="39" t="inlineStr">
        <is>
          <t>经济增长</t>
        </is>
      </c>
      <c r="C2" s="39" t="inlineStr">
        <is>
          <t>GDP同比增速（%）</t>
        </is>
      </c>
      <c r="D2" s="39" t="inlineStr">
        <is>
          <t>&lt;3.0% 明显低于目标</t>
        </is>
      </c>
      <c r="E2" s="39" t="inlineStr">
        <is>
          <t>3.0-4.0% 低于目标</t>
        </is>
      </c>
      <c r="F2" s="39" t="inlineStr">
        <is>
          <t>4.0-5.0% 接近目标</t>
        </is>
      </c>
      <c r="G2" s="39" t="inlineStr">
        <is>
          <t>5.0-6.0% 超额完成</t>
        </is>
      </c>
      <c r="H2" s="39" t="inlineStr">
        <is>
          <t>&gt;=6.0% 明显偏强</t>
        </is>
      </c>
      <c r="I2" s="39" t="inlineStr">
        <is>
          <t>单调递增</t>
        </is>
      </c>
      <c r="J2" s="39" t="inlineStr">
        <is>
          <t>以5%政策目标为中枢</t>
        </is>
      </c>
    </row>
    <row r="3" ht="31" customHeight="1">
      <c r="A3" s="40" t="inlineStr">
        <is>
          <t>经济运行</t>
        </is>
      </c>
      <c r="B3" s="40" t="inlineStr">
        <is>
          <t>经济增长</t>
        </is>
      </c>
      <c r="C3" s="40" t="inlineStr">
        <is>
          <t>GDP环比增速（%）</t>
        </is>
      </c>
      <c r="D3" s="40" t="inlineStr">
        <is>
          <t>&lt;0.3% 动能极弱</t>
        </is>
      </c>
      <c r="E3" s="40" t="inlineStr">
        <is>
          <t>0.3-0.6% 偏弱</t>
        </is>
      </c>
      <c r="F3" s="40" t="inlineStr">
        <is>
          <t>0.6-1.0% 正常</t>
        </is>
      </c>
      <c r="G3" s="40" t="inlineStr">
        <is>
          <t>1.0-1.5% 偏强</t>
        </is>
      </c>
      <c r="H3" s="40" t="inlineStr">
        <is>
          <t>&gt;=1.5% 明显偏强</t>
        </is>
      </c>
      <c r="I3" s="40" t="inlineStr">
        <is>
          <t>单调递增</t>
        </is>
      </c>
      <c r="J3" s="40" t="inlineStr">
        <is>
          <t>季调环比正常0.5-1.2%</t>
        </is>
      </c>
    </row>
    <row r="4" ht="31" customHeight="1">
      <c r="A4" s="39" t="inlineStr">
        <is>
          <t>经济运行</t>
        </is>
      </c>
      <c r="B4" s="39" t="inlineStr">
        <is>
          <t>经济增长</t>
        </is>
      </c>
      <c r="C4" s="39" t="inlineStr">
        <is>
          <t>GDP平减指数</t>
        </is>
      </c>
      <c r="D4" s="39" t="inlineStr">
        <is>
          <t>&lt;-1.0% 深度通缩</t>
        </is>
      </c>
      <c r="E4" s="39" t="inlineStr">
        <is>
          <t>-1.0~0.0% 通缩区间</t>
        </is>
      </c>
      <c r="F4" s="39" t="inlineStr">
        <is>
          <t>0.0-1.5% 偏低可接受</t>
        </is>
      </c>
      <c r="G4" s="39" t="inlineStr">
        <is>
          <t>1.5-3.0% 温和通胀</t>
        </is>
      </c>
      <c r="H4" s="39" t="inlineStr">
        <is>
          <t>&gt;=3.0% 通胀偏高</t>
        </is>
      </c>
      <c r="I4" s="39" t="inlineStr">
        <is>
          <t>倒U型</t>
        </is>
      </c>
      <c r="J4" s="39" t="inlineStr">
        <is>
          <t>0-2%为健康区间</t>
        </is>
      </c>
    </row>
    <row r="5" ht="31" customHeight="1">
      <c r="A5" s="40" t="inlineStr">
        <is>
          <t>经济运行</t>
        </is>
      </c>
      <c r="B5" s="40" t="inlineStr">
        <is>
          <t>物价水平</t>
        </is>
      </c>
      <c r="C5" s="40" t="inlineStr">
        <is>
          <t>CPI同比（%）</t>
        </is>
      </c>
      <c r="D5" s="40" t="inlineStr">
        <is>
          <t>&lt;0.0%或&gt;5.0%</t>
        </is>
      </c>
      <c r="E5" s="40" t="inlineStr">
        <is>
          <t>0.0-0.5%或4.0-5.0%</t>
        </is>
      </c>
      <c r="F5" s="40" t="inlineStr">
        <is>
          <t>0.5-1.0%或3.0-4.0%</t>
        </is>
      </c>
      <c r="G5" s="40" t="inlineStr">
        <is>
          <t>1.0-2.0% 温和偏低</t>
        </is>
      </c>
      <c r="H5" s="40" t="inlineStr">
        <is>
          <t>2.0-3.0% 政策最优</t>
        </is>
      </c>
      <c r="I5" s="40" t="inlineStr">
        <is>
          <t>倒U型</t>
        </is>
      </c>
      <c r="J5" s="40" t="inlineStr">
        <is>
          <t>2-3%为政策目标区间</t>
        </is>
      </c>
    </row>
    <row r="6" ht="31" customHeight="1">
      <c r="A6" s="39" t="inlineStr">
        <is>
          <t>经济运行</t>
        </is>
      </c>
      <c r="B6" s="39" t="inlineStr">
        <is>
          <t>物价水平</t>
        </is>
      </c>
      <c r="C6" s="39" t="inlineStr">
        <is>
          <t>CPI环比（%）</t>
        </is>
      </c>
      <c r="D6" s="39" t="inlineStr">
        <is>
          <t>&lt;-0.5%或&gt;1.0%</t>
        </is>
      </c>
      <c r="E6" s="39" t="inlineStr">
        <is>
          <t>-0.5~-0.1% 偏弱</t>
        </is>
      </c>
      <c r="F6" s="39" t="inlineStr">
        <is>
          <t>-0.1~0.2% 正常</t>
        </is>
      </c>
      <c r="G6" s="39" t="inlineStr">
        <is>
          <t>0.2-0.5% 温和上涨</t>
        </is>
      </c>
      <c r="H6" s="39" t="inlineStr">
        <is>
          <t>0.5-1.0% 较好</t>
        </is>
      </c>
      <c r="I6" s="39" t="inlineStr">
        <is>
          <t>偏标准</t>
        </is>
      </c>
      <c r="J6" s="39" t="inlineStr">
        <is>
          <t>正常波动-0.2~0.5%</t>
        </is>
      </c>
    </row>
    <row r="7" ht="31" customHeight="1">
      <c r="A7" s="40" t="inlineStr">
        <is>
          <t>经济运行</t>
        </is>
      </c>
      <c r="B7" s="40" t="inlineStr">
        <is>
          <t>物价水平</t>
        </is>
      </c>
      <c r="C7" s="40" t="inlineStr">
        <is>
          <t>核心CPI同比（%）</t>
        </is>
      </c>
      <c r="D7" s="40" t="inlineStr">
        <is>
          <t>&lt;0.5%或&gt;4.0%</t>
        </is>
      </c>
      <c r="E7" s="40" t="inlineStr">
        <is>
          <t>0.5-1.0%或3.0-4.0%</t>
        </is>
      </c>
      <c r="F7" s="40" t="inlineStr">
        <is>
          <t>1.0-1.5%或2.5-3.0%</t>
        </is>
      </c>
      <c r="G7" s="40" t="inlineStr">
        <is>
          <t>1.5-2.0% 温和偏低</t>
        </is>
      </c>
      <c r="H7" s="40" t="inlineStr">
        <is>
          <t>2.0-2.5% 健康</t>
        </is>
      </c>
      <c r="I7" s="40" t="inlineStr">
        <is>
          <t>倒U型</t>
        </is>
      </c>
      <c r="J7" s="40" t="inlineStr">
        <is>
          <t>核心CPI中枢低0.5-1pct</t>
        </is>
      </c>
    </row>
    <row r="8" ht="31" customHeight="1">
      <c r="A8" s="39" t="inlineStr">
        <is>
          <t>经济运行</t>
        </is>
      </c>
      <c r="B8" s="39" t="inlineStr">
        <is>
          <t>物价水平</t>
        </is>
      </c>
      <c r="C8" s="39" t="inlineStr">
        <is>
          <t>PPI同比（%）</t>
        </is>
      </c>
      <c r="D8" s="39" t="inlineStr">
        <is>
          <t>&lt;-3.0%或&gt;10.0%</t>
        </is>
      </c>
      <c r="E8" s="39" t="inlineStr">
        <is>
          <t>-3.0~-1.0% 明显通缩</t>
        </is>
      </c>
      <c r="F8" s="39" t="inlineStr">
        <is>
          <t>-1.0~0.5% 偏弱</t>
        </is>
      </c>
      <c r="G8" s="39" t="inlineStr">
        <is>
          <t>0.5-3.0% 温和正增</t>
        </is>
      </c>
      <c r="H8" s="39" t="inlineStr">
        <is>
          <t>3.0-8.0% 较好</t>
        </is>
      </c>
      <c r="I8" s="39" t="inlineStr">
        <is>
          <t>倒U型</t>
        </is>
      </c>
      <c r="J8" s="39" t="inlineStr">
        <is>
          <t>温和正增最优</t>
        </is>
      </c>
    </row>
    <row r="9" ht="31" customHeight="1">
      <c r="A9" s="40" t="inlineStr">
        <is>
          <t>经济运行</t>
        </is>
      </c>
      <c r="B9" s="40" t="inlineStr">
        <is>
          <t>物价水平</t>
        </is>
      </c>
      <c r="C9" s="40" t="inlineStr">
        <is>
          <t>PPI环比（%）</t>
        </is>
      </c>
      <c r="D9" s="40" t="inlineStr">
        <is>
          <t>&lt;-0.8%或&gt;1.5%</t>
        </is>
      </c>
      <c r="E9" s="40" t="inlineStr">
        <is>
          <t>-0.8~-0.2% 偏弱</t>
        </is>
      </c>
      <c r="F9" s="40" t="inlineStr">
        <is>
          <t>-0.2~0.2% 正常</t>
        </is>
      </c>
      <c r="G9" s="40" t="inlineStr">
        <is>
          <t>0.2-0.6% 温和上涨</t>
        </is>
      </c>
      <c r="H9" s="40" t="inlineStr">
        <is>
          <t>0.6-1.2% 较好</t>
        </is>
      </c>
      <c r="I9" s="40" t="inlineStr">
        <is>
          <t>偏标准</t>
        </is>
      </c>
      <c r="J9" s="40" t="inlineStr">
        <is>
          <t>正常波动-0.3~0.5%</t>
        </is>
      </c>
    </row>
    <row r="10" ht="31" customHeight="1">
      <c r="A10" s="39" t="inlineStr">
        <is>
          <t>经济运行</t>
        </is>
      </c>
      <c r="B10" s="39" t="inlineStr">
        <is>
          <t>国际收支</t>
        </is>
      </c>
      <c r="C10" s="39" t="inlineStr">
        <is>
          <t>外汇储备（亿美元）</t>
        </is>
      </c>
      <c r="D10" s="39" t="inlineStr">
        <is>
          <t>&lt;28000 警戒线下</t>
        </is>
      </c>
      <c r="E10" s="39" t="inlineStr">
        <is>
          <t>28000-30000 偏低</t>
        </is>
      </c>
      <c r="F10" s="39" t="inlineStr">
        <is>
          <t>30000-32000 正常</t>
        </is>
      </c>
      <c r="G10" s="39" t="inlineStr">
        <is>
          <t>32000-34000 充裕</t>
        </is>
      </c>
      <c r="H10" s="39" t="inlineStr">
        <is>
          <t>&gt;=34000 非常充裕</t>
        </is>
      </c>
      <c r="I10" s="39" t="inlineStr">
        <is>
          <t>单调递增</t>
        </is>
      </c>
      <c r="J10" s="39" t="inlineStr">
        <is>
          <t>3万亿为心理关口</t>
        </is>
      </c>
    </row>
    <row r="11" ht="31" customHeight="1">
      <c r="A11" s="40" t="inlineStr">
        <is>
          <t>经济运行</t>
        </is>
      </c>
      <c r="B11" s="40" t="inlineStr">
        <is>
          <t>国际收支</t>
        </is>
      </c>
      <c r="C11" s="40" t="inlineStr">
        <is>
          <t>美元兑人民币汇率</t>
        </is>
      </c>
      <c r="D11" s="40" t="inlineStr">
        <is>
          <t>&gt;7.5或&lt;6.3</t>
        </is>
      </c>
      <c r="E11" s="40" t="inlineStr">
        <is>
          <t>7.3-7.5或6.3-6.5</t>
        </is>
      </c>
      <c r="F11" s="40" t="inlineStr">
        <is>
          <t>7.1-7.3或6.5-6.7</t>
        </is>
      </c>
      <c r="G11" s="40" t="inlineStr">
        <is>
          <t>6.9-7.1 接近均衡</t>
        </is>
      </c>
      <c r="H11" s="40" t="inlineStr">
        <is>
          <t>6.7-6.9 均衡偏强</t>
        </is>
      </c>
      <c r="I11" s="40" t="inlineStr">
        <is>
          <t>倒U型</t>
        </is>
      </c>
      <c r="J11" s="40" t="inlineStr">
        <is>
          <t>6.7-7.1为均衡区间</t>
        </is>
      </c>
    </row>
    <row r="12" ht="31" customHeight="1">
      <c r="A12" s="39" t="inlineStr">
        <is>
          <t>经济运行</t>
        </is>
      </c>
      <c r="B12" s="39" t="inlineStr">
        <is>
          <t>国际收支</t>
        </is>
      </c>
      <c r="C12" s="39" t="inlineStr">
        <is>
          <t>CFETS人民币汇率指数</t>
        </is>
      </c>
      <c r="D12" s="39" t="inlineStr">
        <is>
          <t>&lt;90或&gt;110</t>
        </is>
      </c>
      <c r="E12" s="39" t="inlineStr">
        <is>
          <t>90-95或105-110</t>
        </is>
      </c>
      <c r="F12" s="39" t="inlineStr">
        <is>
          <t>95-100或102-105</t>
        </is>
      </c>
      <c r="G12" s="39" t="inlineStr">
        <is>
          <t>100-102 均衡</t>
        </is>
      </c>
      <c r="H12" s="39" t="inlineStr">
        <is>
          <t>-- 稳定性优先</t>
        </is>
      </c>
      <c r="I12" s="39" t="inlineStr">
        <is>
          <t>以100为基准</t>
        </is>
      </c>
      <c r="J12" s="39" t="inlineStr">
        <is>
          <t>正常波动95-105</t>
        </is>
      </c>
    </row>
    <row r="13" ht="31" customHeight="1">
      <c r="A13" s="40" t="inlineStr">
        <is>
          <t>经济运行</t>
        </is>
      </c>
      <c r="B13" s="40" t="inlineStr">
        <is>
          <t>国际收支</t>
        </is>
      </c>
      <c r="C13" s="40" t="inlineStr">
        <is>
          <t>货物贸易顺差（亿美元）</t>
        </is>
      </c>
      <c r="D13" s="40" t="inlineStr">
        <is>
          <t>&lt;200或&gt;1500</t>
        </is>
      </c>
      <c r="E13" s="40" t="inlineStr">
        <is>
          <t>200-400或1200-1500</t>
        </is>
      </c>
      <c r="F13" s="40" t="inlineStr">
        <is>
          <t>400-600或900-1200</t>
        </is>
      </c>
      <c r="G13" s="40" t="inlineStr">
        <is>
          <t>600-900 健康</t>
        </is>
      </c>
      <c r="H13" s="40" t="inlineStr">
        <is>
          <t>-- 过大反映内需不足</t>
        </is>
      </c>
      <c r="I13" s="40" t="inlineStr">
        <is>
          <t>倒U型</t>
        </is>
      </c>
      <c r="J13" s="40" t="inlineStr">
        <is>
          <t>顺差过大非越高越好</t>
        </is>
      </c>
    </row>
    <row r="14" ht="31" customHeight="1">
      <c r="A14" s="39" t="inlineStr">
        <is>
          <t>经济运行</t>
        </is>
      </c>
      <c r="B14" s="39" t="inlineStr">
        <is>
          <t>国际收支</t>
        </is>
      </c>
      <c r="C14" s="39" t="inlineStr">
        <is>
          <t>服务贸易差额（亿美元）</t>
        </is>
      </c>
      <c r="D14" s="39" t="inlineStr">
        <is>
          <t>&lt;-1500 逆差失控</t>
        </is>
      </c>
      <c r="E14" s="39" t="inlineStr">
        <is>
          <t>-1500~-1000 偏大</t>
        </is>
      </c>
      <c r="F14" s="39" t="inlineStr">
        <is>
          <t>-1000~-500 正常</t>
        </is>
      </c>
      <c r="G14" s="39" t="inlineStr">
        <is>
          <t>-500~-200 偏低正常</t>
        </is>
      </c>
      <c r="H14" s="39" t="inlineStr">
        <is>
          <t>-- 适度逆差正常</t>
        </is>
      </c>
      <c r="I14" s="39" t="inlineStr">
        <is>
          <t>适度逆差</t>
        </is>
      </c>
      <c r="J14" s="39" t="inlineStr">
        <is>
          <t>逆差反映境外消费</t>
        </is>
      </c>
    </row>
    <row r="15" ht="31" customHeight="1">
      <c r="A15" s="40" t="inlineStr">
        <is>
          <t>经济运行</t>
        </is>
      </c>
      <c r="B15" s="40" t="inlineStr">
        <is>
          <t>就业市场</t>
        </is>
      </c>
      <c r="C15" s="40" t="inlineStr">
        <is>
          <t>城镇调查失业率（%）</t>
        </is>
      </c>
      <c r="D15" s="40" t="inlineStr">
        <is>
          <t>&gt;6.0% 明显偏高</t>
        </is>
      </c>
      <c r="E15" s="40" t="inlineStr">
        <is>
          <t>5.5-6.0% 偏高</t>
        </is>
      </c>
      <c r="F15" s="40" t="inlineStr">
        <is>
          <t>5.0-5.5% 正常</t>
        </is>
      </c>
      <c r="G15" s="40" t="inlineStr">
        <is>
          <t>4.5-5.0% 接近充分</t>
        </is>
      </c>
      <c r="H15" s="40" t="inlineStr">
        <is>
          <t>&lt;4.5% 充分就业</t>
        </is>
      </c>
      <c r="I15" s="40" t="inlineStr">
        <is>
          <t>单调递减</t>
        </is>
      </c>
      <c r="J15" s="40" t="inlineStr">
        <is>
          <t>政策目标约5.5%</t>
        </is>
      </c>
    </row>
    <row r="16" ht="31" customHeight="1">
      <c r="A16" s="39" t="inlineStr">
        <is>
          <t>经济运行</t>
        </is>
      </c>
      <c r="B16" s="39" t="inlineStr">
        <is>
          <t>景气指数</t>
        </is>
      </c>
      <c r="C16" s="39" t="inlineStr">
        <is>
          <t>制造业PMI（%）</t>
        </is>
      </c>
      <c r="D16" s="39" t="inlineStr">
        <is>
          <t>&lt;47 深度收缩</t>
        </is>
      </c>
      <c r="E16" s="39" t="inlineStr">
        <is>
          <t>47-49 收缩</t>
        </is>
      </c>
      <c r="F16" s="39" t="inlineStr">
        <is>
          <t>49-51 荣枯线附近</t>
        </is>
      </c>
      <c r="G16" s="39" t="inlineStr">
        <is>
          <t>51-53 温和扩张</t>
        </is>
      </c>
      <c r="H16" s="39" t="inlineStr">
        <is>
          <t>&gt;=53 强扩张</t>
        </is>
      </c>
      <c r="I16" s="39" t="inlineStr">
        <is>
          <t>单调递增</t>
        </is>
      </c>
      <c r="J16" s="39" t="inlineStr">
        <is>
          <t>50为荣枯线</t>
        </is>
      </c>
    </row>
    <row r="17" ht="31" customHeight="1">
      <c r="A17" s="40" t="inlineStr">
        <is>
          <t>经济运行</t>
        </is>
      </c>
      <c r="B17" s="40" t="inlineStr">
        <is>
          <t>景气指数</t>
        </is>
      </c>
      <c r="C17" s="40" t="inlineStr">
        <is>
          <t>非制造业PMI（%）</t>
        </is>
      </c>
      <c r="D17" s="40" t="inlineStr">
        <is>
          <t>&lt;48 收缩</t>
        </is>
      </c>
      <c r="E17" s="40" t="inlineStr">
        <is>
          <t>48-50 偏弱</t>
        </is>
      </c>
      <c r="F17" s="40" t="inlineStr">
        <is>
          <t>50-53 正常</t>
        </is>
      </c>
      <c r="G17" s="40" t="inlineStr">
        <is>
          <t>53-56 较好</t>
        </is>
      </c>
      <c r="H17" s="40" t="inlineStr">
        <is>
          <t>&gt;=56 强扩张</t>
        </is>
      </c>
      <c r="I17" s="40" t="inlineStr">
        <is>
          <t>单调递增</t>
        </is>
      </c>
      <c r="J17" s="40" t="inlineStr">
        <is>
          <t>非制造业PMI均值53-54</t>
        </is>
      </c>
    </row>
    <row r="18" ht="31" customHeight="1">
      <c r="A18" s="39" t="inlineStr">
        <is>
          <t>经济运行</t>
        </is>
      </c>
      <c r="B18" s="39" t="inlineStr">
        <is>
          <t>景气指数</t>
        </is>
      </c>
      <c r="C18" s="39" t="inlineStr">
        <is>
          <t>综合PMI产出指数</t>
        </is>
      </c>
      <c r="D18" s="39" t="inlineStr">
        <is>
          <t>&lt;48 收缩</t>
        </is>
      </c>
      <c r="E18" s="39" t="inlineStr">
        <is>
          <t>48-50 偏弱</t>
        </is>
      </c>
      <c r="F18" s="39" t="inlineStr">
        <is>
          <t>50-52 正常</t>
        </is>
      </c>
      <c r="G18" s="39" t="inlineStr">
        <is>
          <t>52-54 较好</t>
        </is>
      </c>
      <c r="H18" s="39" t="inlineStr">
        <is>
          <t>&gt;=54 强扩张</t>
        </is>
      </c>
      <c r="I18" s="39" t="inlineStr">
        <is>
          <t>单调递增</t>
        </is>
      </c>
      <c r="J18" s="39" t="inlineStr">
        <is>
          <t>覆盖制造+非制造</t>
        </is>
      </c>
    </row>
    <row r="19" ht="31" customHeight="1">
      <c r="A19" s="40" t="inlineStr">
        <is>
          <t>经济运行</t>
        </is>
      </c>
      <c r="B19" s="40" t="inlineStr">
        <is>
          <t>景气指数</t>
        </is>
      </c>
      <c r="C19" s="40" t="inlineStr">
        <is>
          <t>BCI中国企业经营状况指数</t>
        </is>
      </c>
      <c r="D19" s="40" t="inlineStr">
        <is>
          <t>&lt;40 深度悲观</t>
        </is>
      </c>
      <c r="E19" s="40" t="inlineStr">
        <is>
          <t>40-50 偏弱</t>
        </is>
      </c>
      <c r="F19" s="40" t="inlineStr">
        <is>
          <t>50-55 中性</t>
        </is>
      </c>
      <c r="G19" s="40" t="inlineStr">
        <is>
          <t>55-65 偏乐观</t>
        </is>
      </c>
      <c r="H19" s="40" t="inlineStr">
        <is>
          <t>&gt;=65 强乐观</t>
        </is>
      </c>
      <c r="I19" s="40" t="inlineStr">
        <is>
          <t>单调递增</t>
        </is>
      </c>
      <c r="J19" s="40" t="inlineStr">
        <is>
          <t>长江商学院BCI</t>
        </is>
      </c>
    </row>
    <row r="20" ht="31" customHeight="1">
      <c r="A20" s="39" t="inlineStr">
        <is>
          <t>经济运行</t>
        </is>
      </c>
      <c r="B20" s="39" t="inlineStr">
        <is>
          <t>景气指数</t>
        </is>
      </c>
      <c r="C20" s="39" t="inlineStr">
        <is>
          <t>消费者信心指数</t>
        </is>
      </c>
      <c r="D20" s="39" t="inlineStr">
        <is>
          <t>&lt;90 深度悲观</t>
        </is>
      </c>
      <c r="E20" s="39" t="inlineStr">
        <is>
          <t>90-100 偏弱</t>
        </is>
      </c>
      <c r="F20" s="39" t="inlineStr">
        <is>
          <t>100-110 中性</t>
        </is>
      </c>
      <c r="G20" s="39" t="inlineStr">
        <is>
          <t>110-120 偏乐观</t>
        </is>
      </c>
      <c r="H20" s="39" t="inlineStr">
        <is>
          <t>&gt;=120 强乐观</t>
        </is>
      </c>
      <c r="I20" s="39" t="inlineStr">
        <is>
          <t>单调递增</t>
        </is>
      </c>
      <c r="J20" s="39" t="inlineStr">
        <is>
          <t>疫前约120疫后缓慢</t>
        </is>
      </c>
    </row>
    <row r="21" ht="31" customHeight="1">
      <c r="A21" s="40" t="inlineStr">
        <is>
          <t>增长动力</t>
        </is>
      </c>
      <c r="B21" s="40" t="inlineStr">
        <is>
          <t>工业生产</t>
        </is>
      </c>
      <c r="C21" s="40" t="inlineStr">
        <is>
          <t>规模以上工业增加值增速（%）</t>
        </is>
      </c>
      <c r="D21" s="40" t="inlineStr">
        <is>
          <t>&lt;3.0% 明显偏低</t>
        </is>
      </c>
      <c r="E21" s="40" t="inlineStr">
        <is>
          <t>3.0-5.0% 偏弱</t>
        </is>
      </c>
      <c r="F21" s="40" t="inlineStr">
        <is>
          <t>5.0-6.0% 正常</t>
        </is>
      </c>
      <c r="G21" s="40" t="inlineStr">
        <is>
          <t>6.0-8.0% 偏强</t>
        </is>
      </c>
      <c r="H21" s="40" t="inlineStr">
        <is>
          <t>&gt;=8.0% 强增长</t>
        </is>
      </c>
      <c r="I21" s="40" t="inlineStr">
        <is>
          <t>单调递增</t>
        </is>
      </c>
      <c r="J21" s="40" t="inlineStr">
        <is>
          <t>历史均值约6%</t>
        </is>
      </c>
    </row>
    <row r="22" ht="31" customHeight="1">
      <c r="A22" s="39" t="inlineStr">
        <is>
          <t>增长动力</t>
        </is>
      </c>
      <c r="B22" s="39" t="inlineStr">
        <is>
          <t>工业生产</t>
        </is>
      </c>
      <c r="C22" s="39" t="inlineStr">
        <is>
          <t>工业企业利润总额增速（%）</t>
        </is>
      </c>
      <c r="D22" s="39" t="inlineStr">
        <is>
          <t>&lt;-10% 深度下滑</t>
        </is>
      </c>
      <c r="E22" s="39" t="inlineStr">
        <is>
          <t>-10~0% 下滑</t>
        </is>
      </c>
      <c r="F22" s="39" t="inlineStr">
        <is>
          <t>0-8% 小幅增长</t>
        </is>
      </c>
      <c r="G22" s="39" t="inlineStr">
        <is>
          <t>8-15% 较好增长</t>
        </is>
      </c>
      <c r="H22" s="39" t="inlineStr">
        <is>
          <t>&gt;=15% 强劲增长</t>
        </is>
      </c>
      <c r="I22" s="39" t="inlineStr">
        <is>
          <t>单调递增</t>
        </is>
      </c>
      <c r="J22" s="39" t="inlineStr">
        <is>
          <t>利润是信用质量核心</t>
        </is>
      </c>
    </row>
    <row r="23" ht="31" customHeight="1">
      <c r="A23" s="40" t="inlineStr">
        <is>
          <t>增长动力</t>
        </is>
      </c>
      <c r="B23" s="40" t="inlineStr">
        <is>
          <t>工业生产</t>
        </is>
      </c>
      <c r="C23" s="40" t="inlineStr">
        <is>
          <t>工业企业产能利用率（%）</t>
        </is>
      </c>
      <c r="D23" s="40" t="inlineStr">
        <is>
          <t>&lt;72% 明显过剩</t>
        </is>
      </c>
      <c r="E23" s="40" t="inlineStr">
        <is>
          <t>72-75% 偏低</t>
        </is>
      </c>
      <c r="F23" s="40" t="inlineStr">
        <is>
          <t>75-78% 正常</t>
        </is>
      </c>
      <c r="G23" s="40" t="inlineStr">
        <is>
          <t>78-81% 偏高</t>
        </is>
      </c>
      <c r="H23" s="40" t="inlineStr">
        <is>
          <t>&gt;=81% 过热</t>
        </is>
      </c>
      <c r="I23" s="40" t="inlineStr">
        <is>
          <t>倒U型</t>
        </is>
      </c>
      <c r="J23" s="40" t="inlineStr">
        <is>
          <t>健康区间75-80%</t>
        </is>
      </c>
    </row>
    <row r="24" ht="31" customHeight="1">
      <c r="A24" s="39" t="inlineStr">
        <is>
          <t>增长动力</t>
        </is>
      </c>
      <c r="B24" s="39" t="inlineStr">
        <is>
          <t>工业生产</t>
        </is>
      </c>
      <c r="C24" s="39" t="inlineStr">
        <is>
          <t>发电量增速（%）</t>
        </is>
      </c>
      <c r="D24" s="39" t="inlineStr">
        <is>
          <t>&lt;1.0% 明显偏低</t>
        </is>
      </c>
      <c r="E24" s="39" t="inlineStr">
        <is>
          <t>1.0-3.0% 偏低</t>
        </is>
      </c>
      <c r="F24" s="39" t="inlineStr">
        <is>
          <t>3.0-5.0% 正常</t>
        </is>
      </c>
      <c r="G24" s="39" t="inlineStr">
        <is>
          <t>5.0-8.0% 偏强</t>
        </is>
      </c>
      <c r="H24" s="39" t="inlineStr">
        <is>
          <t>&gt;=8.0% 强增长</t>
        </is>
      </c>
      <c r="I24" s="39" t="inlineStr">
        <is>
          <t>单调递增</t>
        </is>
      </c>
      <c r="J24" s="39" t="inlineStr">
        <is>
          <t>克强指数成分</t>
        </is>
      </c>
    </row>
    <row r="25" ht="31" customHeight="1">
      <c r="A25" s="40" t="inlineStr">
        <is>
          <t>增长动力</t>
        </is>
      </c>
      <c r="B25" s="40" t="inlineStr">
        <is>
          <t>工业生产</t>
        </is>
      </c>
      <c r="C25" s="40" t="inlineStr">
        <is>
          <t>铁路货运量增速（%）</t>
        </is>
      </c>
      <c r="D25" s="40" t="inlineStr">
        <is>
          <t>&lt;-5.0% 深度下滑</t>
        </is>
      </c>
      <c r="E25" s="40" t="inlineStr">
        <is>
          <t>-5.0~0% 下滑</t>
        </is>
      </c>
      <c r="F25" s="40" t="inlineStr">
        <is>
          <t>0-3.0% 低速增长</t>
        </is>
      </c>
      <c r="G25" s="40" t="inlineStr">
        <is>
          <t>3.0-6.0% 正常</t>
        </is>
      </c>
      <c r="H25" s="40" t="inlineStr">
        <is>
          <t>&gt;=6.0% 较快增长</t>
        </is>
      </c>
      <c r="I25" s="40" t="inlineStr">
        <is>
          <t>单调递增</t>
        </is>
      </c>
      <c r="J25" s="40" t="inlineStr">
        <is>
          <t>克强指数成分</t>
        </is>
      </c>
    </row>
    <row r="26" ht="31" customHeight="1">
      <c r="A26" s="39" t="inlineStr">
        <is>
          <t>增长动力</t>
        </is>
      </c>
      <c r="B26" s="39" t="inlineStr">
        <is>
          <t>房地产</t>
        </is>
      </c>
      <c r="C26" s="39" t="inlineStr">
        <is>
          <t>商品房销售面积增速（%）</t>
        </is>
      </c>
      <c r="D26" s="39" t="inlineStr">
        <is>
          <t>&lt;-20% 深度下滑</t>
        </is>
      </c>
      <c r="E26" s="39" t="inlineStr">
        <is>
          <t>-20~-10% 明显下滑</t>
        </is>
      </c>
      <c r="F26" s="39" t="inlineStr">
        <is>
          <t>-10~0% 小幅下滑</t>
        </is>
      </c>
      <c r="G26" s="39" t="inlineStr">
        <is>
          <t>0-5% 平稳</t>
        </is>
      </c>
      <c r="H26" s="39" t="inlineStr">
        <is>
          <t>&gt;=5% 明显增长</t>
        </is>
      </c>
      <c r="I26" s="39" t="inlineStr">
        <is>
          <t>单调递增</t>
        </is>
      </c>
      <c r="J26" s="39" t="inlineStr">
        <is>
          <t>销售是地产链领先指标</t>
        </is>
      </c>
    </row>
    <row r="27" ht="31" customHeight="1">
      <c r="A27" s="40" t="inlineStr">
        <is>
          <t>增长动力</t>
        </is>
      </c>
      <c r="B27" s="40" t="inlineStr">
        <is>
          <t>房地产</t>
        </is>
      </c>
      <c r="C27" s="40" t="inlineStr">
        <is>
          <t>商品房销售额增速（%）</t>
        </is>
      </c>
      <c r="D27" s="40" t="inlineStr">
        <is>
          <t>&lt;-20% 深度下滑</t>
        </is>
      </c>
      <c r="E27" s="40" t="inlineStr">
        <is>
          <t>-20~-10% 明显下滑</t>
        </is>
      </c>
      <c r="F27" s="40" t="inlineStr">
        <is>
          <t>-10~0% 小幅下滑</t>
        </is>
      </c>
      <c r="G27" s="40" t="inlineStr">
        <is>
          <t>0-8% 平稳增长</t>
        </is>
      </c>
      <c r="H27" s="40" t="inlineStr">
        <is>
          <t>&gt;=8% 明显增长</t>
        </is>
      </c>
      <c r="I27" s="40" t="inlineStr">
        <is>
          <t>单调递增</t>
        </is>
      </c>
      <c r="J27" s="40" t="inlineStr">
        <is>
          <t>销售额=面积*价格</t>
        </is>
      </c>
    </row>
    <row r="28" ht="31" customHeight="1">
      <c r="A28" s="39" t="inlineStr">
        <is>
          <t>增长动力</t>
        </is>
      </c>
      <c r="B28" s="39" t="inlineStr">
        <is>
          <t>房地产</t>
        </is>
      </c>
      <c r="C28" s="39" t="inlineStr">
        <is>
          <t>房屋新开工面积增速（%）</t>
        </is>
      </c>
      <c r="D28" s="39" t="inlineStr">
        <is>
          <t>&lt;-25% 深度下滑</t>
        </is>
      </c>
      <c r="E28" s="39" t="inlineStr">
        <is>
          <t>-25~-10% 明显下滑</t>
        </is>
      </c>
      <c r="F28" s="39" t="inlineStr">
        <is>
          <t>-10~0% 下滑收窄</t>
        </is>
      </c>
      <c r="G28" s="39" t="inlineStr">
        <is>
          <t>0-10% 回正</t>
        </is>
      </c>
      <c r="H28" s="39" t="inlineStr">
        <is>
          <t>&gt;=10% 明显扩张</t>
        </is>
      </c>
      <c r="I28" s="39" t="inlineStr">
        <is>
          <t>单调递增</t>
        </is>
      </c>
      <c r="J28" s="39" t="inlineStr">
        <is>
          <t>新开工领先投资6M</t>
        </is>
      </c>
    </row>
    <row r="29" ht="31" customHeight="1">
      <c r="A29" s="40" t="inlineStr">
        <is>
          <t>增长动力</t>
        </is>
      </c>
      <c r="B29" s="40" t="inlineStr">
        <is>
          <t>房地产</t>
        </is>
      </c>
      <c r="C29" s="40" t="inlineStr">
        <is>
          <t>房屋竣工面积增速（%）</t>
        </is>
      </c>
      <c r="D29" s="40" t="inlineStr">
        <is>
          <t>&lt;-20% 深度下滑</t>
        </is>
      </c>
      <c r="E29" s="40" t="inlineStr">
        <is>
          <t>-20~-5% 明显下滑</t>
        </is>
      </c>
      <c r="F29" s="40" t="inlineStr">
        <is>
          <t>-5~5% 小幅波动</t>
        </is>
      </c>
      <c r="G29" s="40" t="inlineStr">
        <is>
          <t>5-15% 正常增长</t>
        </is>
      </c>
      <c r="H29" s="40" t="inlineStr">
        <is>
          <t>&gt;=15% 明显增长</t>
        </is>
      </c>
      <c r="I29" s="40" t="inlineStr">
        <is>
          <t>单调递增</t>
        </is>
      </c>
      <c r="J29" s="40" t="inlineStr">
        <is>
          <t>竣工反映保交楼进度</t>
        </is>
      </c>
    </row>
    <row r="30" ht="31" customHeight="1">
      <c r="A30" s="39" t="inlineStr">
        <is>
          <t>增长动力</t>
        </is>
      </c>
      <c r="B30" s="39" t="inlineStr">
        <is>
          <t>房地产</t>
        </is>
      </c>
      <c r="C30" s="39" t="inlineStr">
        <is>
          <t>房地产开发企业土地购置面积增速（%）</t>
        </is>
      </c>
      <c r="D30" s="39" t="inlineStr">
        <is>
          <t>&lt;-30% 深度下滑</t>
        </is>
      </c>
      <c r="E30" s="39" t="inlineStr">
        <is>
          <t>-30~-15% 明显下滑</t>
        </is>
      </c>
      <c r="F30" s="39" t="inlineStr">
        <is>
          <t>-15~0% 下滑</t>
        </is>
      </c>
      <c r="G30" s="39" t="inlineStr">
        <is>
          <t>0-10% 回正</t>
        </is>
      </c>
      <c r="H30" s="39" t="inlineStr">
        <is>
          <t>&gt;=10% 明显扩张</t>
        </is>
      </c>
      <c r="I30" s="39" t="inlineStr">
        <is>
          <t>单调递增</t>
        </is>
      </c>
      <c r="J30" s="39" t="inlineStr">
        <is>
          <t>土地购置领先新开工6-12M</t>
        </is>
      </c>
    </row>
    <row r="31" ht="31" customHeight="1">
      <c r="A31" s="40" t="inlineStr">
        <is>
          <t>增长动力</t>
        </is>
      </c>
      <c r="B31" s="40" t="inlineStr">
        <is>
          <t>房地产</t>
        </is>
      </c>
      <c r="C31" s="40" t="inlineStr">
        <is>
          <t>70个大中城市新建商品住宅价格指数（%）</t>
        </is>
      </c>
      <c r="D31" s="40" t="inlineStr">
        <is>
          <t>&lt;-3% 深度下跌</t>
        </is>
      </c>
      <c r="E31" s="40" t="inlineStr">
        <is>
          <t>-3~-1% 下跌</t>
        </is>
      </c>
      <c r="F31" s="40" t="inlineStr">
        <is>
          <t>-1~1% 小幅波动</t>
        </is>
      </c>
      <c r="G31" s="40" t="inlineStr">
        <is>
          <t>1-3% 温和上涨</t>
        </is>
      </c>
      <c r="H31" s="40" t="inlineStr">
        <is>
          <t>3-6% 较好上涨</t>
        </is>
      </c>
      <c r="I31" s="40" t="inlineStr">
        <is>
          <t>倒U型</t>
        </is>
      </c>
      <c r="J31" s="40" t="inlineStr">
        <is>
          <t>温和上涨最优</t>
        </is>
      </c>
    </row>
    <row r="32" ht="31" customHeight="1">
      <c r="A32" s="39" t="inlineStr">
        <is>
          <t>增长动力</t>
        </is>
      </c>
      <c r="B32" s="39" t="inlineStr">
        <is>
          <t>房地产</t>
        </is>
      </c>
      <c r="C32" s="39" t="inlineStr">
        <is>
          <t>国房景气指数</t>
        </is>
      </c>
      <c r="D32" s="39" t="inlineStr">
        <is>
          <t>&lt;93 深度悲观</t>
        </is>
      </c>
      <c r="E32" s="39" t="inlineStr">
        <is>
          <t>93-96 偏弱</t>
        </is>
      </c>
      <c r="F32" s="39" t="inlineStr">
        <is>
          <t>96-100 正常</t>
        </is>
      </c>
      <c r="G32" s="39" t="inlineStr">
        <is>
          <t>100-102 偏强</t>
        </is>
      </c>
      <c r="H32" s="39" t="inlineStr">
        <is>
          <t>&gt;=102 强景气</t>
        </is>
      </c>
      <c r="I32" s="39" t="inlineStr">
        <is>
          <t>单调递增</t>
        </is>
      </c>
      <c r="J32" s="39" t="inlineStr">
        <is>
          <t>100为适度水平</t>
        </is>
      </c>
    </row>
    <row r="33" ht="31" customHeight="1">
      <c r="A33" s="40" t="inlineStr">
        <is>
          <t>增长动力</t>
        </is>
      </c>
      <c r="B33" s="40" t="inlineStr">
        <is>
          <t>房地产</t>
        </is>
      </c>
      <c r="C33" s="40" t="inlineStr">
        <is>
          <t>房地产开发企业资金来源增速（%）</t>
        </is>
      </c>
      <c r="D33" s="40" t="inlineStr">
        <is>
          <t>&lt;-15% 深度恶化</t>
        </is>
      </c>
      <c r="E33" s="40" t="inlineStr">
        <is>
          <t>-15~-5% 明显恶化</t>
        </is>
      </c>
      <c r="F33" s="40" t="inlineStr">
        <is>
          <t>-5~0% 小幅恶化</t>
        </is>
      </c>
      <c r="G33" s="40" t="inlineStr">
        <is>
          <t>0-10% 回正</t>
        </is>
      </c>
      <c r="H33" s="40" t="inlineStr">
        <is>
          <t>&gt;=10% 明显改善</t>
        </is>
      </c>
      <c r="I33" s="40" t="inlineStr">
        <is>
          <t>单调递增</t>
        </is>
      </c>
      <c r="J33" s="40" t="inlineStr">
        <is>
          <t>资金来源领先投资6M</t>
        </is>
      </c>
    </row>
    <row r="34" ht="31" customHeight="1">
      <c r="A34" s="39" t="inlineStr">
        <is>
          <t>增长动力</t>
        </is>
      </c>
      <c r="B34" s="39" t="inlineStr">
        <is>
          <t>投资</t>
        </is>
      </c>
      <c r="C34" s="39" t="inlineStr">
        <is>
          <t>固定资产投资增速（%）</t>
        </is>
      </c>
      <c r="D34" s="39" t="inlineStr">
        <is>
          <t>&lt;2.0% 明显偏低</t>
        </is>
      </c>
      <c r="E34" s="39" t="inlineStr">
        <is>
          <t>2.0-4.0% 偏低</t>
        </is>
      </c>
      <c r="F34" s="39" t="inlineStr">
        <is>
          <t>4.0-6.0% 正常</t>
        </is>
      </c>
      <c r="G34" s="39" t="inlineStr">
        <is>
          <t>6.0-8.0% 偏强</t>
        </is>
      </c>
      <c r="H34" s="39" t="inlineStr">
        <is>
          <t>&gt;=8.0% 强增长</t>
        </is>
      </c>
      <c r="I34" s="39" t="inlineStr">
        <is>
          <t>单调递增</t>
        </is>
      </c>
      <c r="J34" s="39" t="inlineStr">
        <is>
          <t>正常区间4-7%</t>
        </is>
      </c>
    </row>
    <row r="35" ht="31" customHeight="1">
      <c r="A35" s="40" t="inlineStr">
        <is>
          <t>增长动力</t>
        </is>
      </c>
      <c r="B35" s="40" t="inlineStr">
        <is>
          <t>投资</t>
        </is>
      </c>
      <c r="C35" s="40" t="inlineStr">
        <is>
          <t>基建投资增速（%）</t>
        </is>
      </c>
      <c r="D35" s="40" t="inlineStr">
        <is>
          <t>&lt;4.0% 明显偏低</t>
        </is>
      </c>
      <c r="E35" s="40" t="inlineStr">
        <is>
          <t>4.0-7.0% 偏低</t>
        </is>
      </c>
      <c r="F35" s="40" t="inlineStr">
        <is>
          <t>7.0-10.0% 正常</t>
        </is>
      </c>
      <c r="G35" s="40" t="inlineStr">
        <is>
          <t>10.0-13.0% 偏强</t>
        </is>
      </c>
      <c r="H35" s="40" t="inlineStr">
        <is>
          <t>&gt;=13.0% 强增长</t>
        </is>
      </c>
      <c r="I35" s="40" t="inlineStr">
        <is>
          <t>单调递增</t>
        </is>
      </c>
      <c r="J35" s="40" t="inlineStr">
        <is>
          <t>财政发力重要观测指标</t>
        </is>
      </c>
    </row>
    <row r="36" ht="31" customHeight="1">
      <c r="A36" s="39" t="inlineStr">
        <is>
          <t>增长动力</t>
        </is>
      </c>
      <c r="B36" s="39" t="inlineStr">
        <is>
          <t>投资</t>
        </is>
      </c>
      <c r="C36" s="39" t="inlineStr">
        <is>
          <t>制造业投资增速（%）</t>
        </is>
      </c>
      <c r="D36" s="39" t="inlineStr">
        <is>
          <t>&lt;4.0% 明显偏低</t>
        </is>
      </c>
      <c r="E36" s="39" t="inlineStr">
        <is>
          <t>4.0-7.0% 偏低</t>
        </is>
      </c>
      <c r="F36" s="39" t="inlineStr">
        <is>
          <t>7.0-10.0% 正常</t>
        </is>
      </c>
      <c r="G36" s="39" t="inlineStr">
        <is>
          <t>10.0-14.0% 偏强</t>
        </is>
      </c>
      <c r="H36" s="39" t="inlineStr">
        <is>
          <t>&gt;=14.0% 强增长</t>
        </is>
      </c>
      <c r="I36" s="39" t="inlineStr">
        <is>
          <t>单调递增</t>
        </is>
      </c>
      <c r="J36" s="39" t="inlineStr">
        <is>
          <t>反映企业资本开支意愿</t>
        </is>
      </c>
    </row>
    <row r="37" ht="31" customHeight="1">
      <c r="A37" s="40" t="inlineStr">
        <is>
          <t>增长动力</t>
        </is>
      </c>
      <c r="B37" s="40" t="inlineStr">
        <is>
          <t>投资</t>
        </is>
      </c>
      <c r="C37" s="40" t="inlineStr">
        <is>
          <t>房地产开发投资增速（%）</t>
        </is>
      </c>
      <c r="D37" s="40" t="inlineStr">
        <is>
          <t>&lt;-10% 深度下滑</t>
        </is>
      </c>
      <c r="E37" s="40" t="inlineStr">
        <is>
          <t>-10~-3% 明显下滑</t>
        </is>
      </c>
      <c r="F37" s="40" t="inlineStr">
        <is>
          <t>-3~0% 小幅下滑</t>
        </is>
      </c>
      <c r="G37" s="40" t="inlineStr">
        <is>
          <t>0-5% 回正</t>
        </is>
      </c>
      <c r="H37" s="40" t="inlineStr">
        <is>
          <t>&gt;=5% 明显扩张</t>
        </is>
      </c>
      <c r="I37" s="40" t="inlineStr">
        <is>
          <t>单调递增</t>
        </is>
      </c>
      <c r="J37" s="40" t="inlineStr">
        <is>
          <t>地产投资是最大拖累项</t>
        </is>
      </c>
    </row>
    <row r="38" ht="31" customHeight="1">
      <c r="A38" s="39" t="inlineStr">
        <is>
          <t>增长动力</t>
        </is>
      </c>
      <c r="B38" s="39" t="inlineStr">
        <is>
          <t>投资</t>
        </is>
      </c>
      <c r="C38" s="39" t="inlineStr">
        <is>
          <t>民间固定资产投资增速（%）</t>
        </is>
      </c>
      <c r="D38" s="39" t="inlineStr">
        <is>
          <t>&lt;2.0% 明显偏低</t>
        </is>
      </c>
      <c r="E38" s="39" t="inlineStr">
        <is>
          <t>2.0-4.0% 偏低</t>
        </is>
      </c>
      <c r="F38" s="39" t="inlineStr">
        <is>
          <t>4.0-6.0% 正常</t>
        </is>
      </c>
      <c r="G38" s="39" t="inlineStr">
        <is>
          <t>6.0-9.0% 偏强</t>
        </is>
      </c>
      <c r="H38" s="39" t="inlineStr">
        <is>
          <t>&gt;=9.0% 强增长</t>
        </is>
      </c>
      <c r="I38" s="39" t="inlineStr">
        <is>
          <t>单调递增</t>
        </is>
      </c>
      <c r="J38" s="39" t="inlineStr">
        <is>
          <t>反映民营经济信心</t>
        </is>
      </c>
    </row>
    <row r="39" ht="31" customHeight="1">
      <c r="A39" s="40" t="inlineStr">
        <is>
          <t>增长动力</t>
        </is>
      </c>
      <c r="B39" s="40" t="inlineStr">
        <is>
          <t>投资</t>
        </is>
      </c>
      <c r="C39" s="40" t="inlineStr">
        <is>
          <t>高技术产业投资增速（%）</t>
        </is>
      </c>
      <c r="D39" s="40" t="inlineStr">
        <is>
          <t>&lt;8.0% 明显偏低</t>
        </is>
      </c>
      <c r="E39" s="40" t="inlineStr">
        <is>
          <t>8.0-12.0% 偏低</t>
        </is>
      </c>
      <c r="F39" s="40" t="inlineStr">
        <is>
          <t>12.0-16.0% 正常</t>
        </is>
      </c>
      <c r="G39" s="40" t="inlineStr">
        <is>
          <t>16.0-20.0% 偏强</t>
        </is>
      </c>
      <c r="H39" s="40" t="inlineStr">
        <is>
          <t>&gt;=20.0% 强增长</t>
        </is>
      </c>
      <c r="I39" s="40" t="inlineStr">
        <is>
          <t>单调递增</t>
        </is>
      </c>
      <c r="J39" s="40" t="inlineStr">
        <is>
          <t>新质生产力核心指标</t>
        </is>
      </c>
    </row>
    <row r="40" ht="31" customHeight="1">
      <c r="A40" s="39" t="inlineStr">
        <is>
          <t>增长动力</t>
        </is>
      </c>
      <c r="B40" s="39" t="inlineStr">
        <is>
          <t>消费</t>
        </is>
      </c>
      <c r="C40" s="39" t="inlineStr">
        <is>
          <t>社会消费品零售总额增速（%）</t>
        </is>
      </c>
      <c r="D40" s="39" t="inlineStr">
        <is>
          <t>&lt;2.0% 明显偏低</t>
        </is>
      </c>
      <c r="E40" s="39" t="inlineStr">
        <is>
          <t>2.0-4.0% 偏低</t>
        </is>
      </c>
      <c r="F40" s="39" t="inlineStr">
        <is>
          <t>4.0-6.0% 正常</t>
        </is>
      </c>
      <c r="G40" s="39" t="inlineStr">
        <is>
          <t>6.0-8.0% 偏强</t>
        </is>
      </c>
      <c r="H40" s="39" t="inlineStr">
        <is>
          <t>&gt;=8.0% 强增长</t>
        </is>
      </c>
      <c r="I40" s="39" t="inlineStr">
        <is>
          <t>单调递增</t>
        </is>
      </c>
      <c r="J40" s="39" t="inlineStr">
        <is>
          <t>疫前正常8-10%疫后恢复缓慢</t>
        </is>
      </c>
    </row>
    <row r="41" ht="31" customHeight="1">
      <c r="A41" s="40" t="inlineStr">
        <is>
          <t>增长动力</t>
        </is>
      </c>
      <c r="B41" s="40" t="inlineStr">
        <is>
          <t>进出口</t>
        </is>
      </c>
      <c r="C41" s="40" t="inlineStr">
        <is>
          <t>出口金额增速（美元计，%）</t>
        </is>
      </c>
      <c r="D41" s="40" t="inlineStr">
        <is>
          <t>&lt;-5.0% 深度下滑</t>
        </is>
      </c>
      <c r="E41" s="40" t="inlineStr">
        <is>
          <t>-5.0~0% 下滑</t>
        </is>
      </c>
      <c r="F41" s="40" t="inlineStr">
        <is>
          <t>0-5.0% 低速增长</t>
        </is>
      </c>
      <c r="G41" s="40" t="inlineStr">
        <is>
          <t>5.0-10.0% 正常</t>
        </is>
      </c>
      <c r="H41" s="40" t="inlineStr">
        <is>
          <t>&gt;=10.0% 强增长</t>
        </is>
      </c>
      <c r="I41" s="40" t="inlineStr">
        <is>
          <t>单调递增</t>
        </is>
      </c>
      <c r="J41" s="40" t="inlineStr">
        <is>
          <t>外需韧性核心指标</t>
        </is>
      </c>
    </row>
    <row r="42" ht="31" customHeight="1">
      <c r="A42" s="39" t="inlineStr">
        <is>
          <t>增长动力</t>
        </is>
      </c>
      <c r="B42" s="39" t="inlineStr">
        <is>
          <t>进出口</t>
        </is>
      </c>
      <c r="C42" s="39" t="inlineStr">
        <is>
          <t>进口金额增速（美元计，%）</t>
        </is>
      </c>
      <c r="D42" s="39" t="inlineStr">
        <is>
          <t>&lt;-5.0% 深度下滑</t>
        </is>
      </c>
      <c r="E42" s="39" t="inlineStr">
        <is>
          <t>-5.0~0% 下滑</t>
        </is>
      </c>
      <c r="F42" s="39" t="inlineStr">
        <is>
          <t>0-4.0% 低速增长</t>
        </is>
      </c>
      <c r="G42" s="39" t="inlineStr">
        <is>
          <t>4.0-8.0% 正常</t>
        </is>
      </c>
      <c r="H42" s="39" t="inlineStr">
        <is>
          <t>&gt;=8.0% 强增长</t>
        </is>
      </c>
      <c r="I42" s="39" t="inlineStr">
        <is>
          <t>单调递增</t>
        </is>
      </c>
      <c r="J42" s="39" t="inlineStr">
        <is>
          <t>进口反映内需强弱</t>
        </is>
      </c>
    </row>
    <row r="43" ht="31" customHeight="1">
      <c r="A43" s="40" t="inlineStr">
        <is>
          <t>增长动力</t>
        </is>
      </c>
      <c r="B43" s="40" t="inlineStr">
        <is>
          <t>进出口</t>
        </is>
      </c>
      <c r="C43" s="40" t="inlineStr">
        <is>
          <t>货物贸易顺差（亿美元）</t>
        </is>
      </c>
      <c r="D43" s="40" t="inlineStr">
        <is>
          <t>&lt;200或&gt;1200</t>
        </is>
      </c>
      <c r="E43" s="40" t="inlineStr">
        <is>
          <t>200-400或900-1200</t>
        </is>
      </c>
      <c r="F43" s="40" t="inlineStr">
        <is>
          <t>400-600或700-900</t>
        </is>
      </c>
      <c r="G43" s="40" t="inlineStr">
        <is>
          <t>600-700 健康顺差</t>
        </is>
      </c>
      <c r="H43" s="40" t="inlineStr">
        <is>
          <t>-- 过大反映内需不足</t>
        </is>
      </c>
      <c r="I43" s="40" t="inlineStr">
        <is>
          <t>倒U型</t>
        </is>
      </c>
      <c r="J43" s="40" t="inlineStr">
        <is>
          <t>适度顺差为最优</t>
        </is>
      </c>
    </row>
    <row r="44" ht="31" customHeight="1">
      <c r="A44" s="39" t="inlineStr">
        <is>
          <t>增长动力</t>
        </is>
      </c>
      <c r="B44" s="39" t="inlineStr">
        <is>
          <t>进出口</t>
        </is>
      </c>
      <c r="C44" s="39" t="inlineStr">
        <is>
          <t>出口集装箱运价指数（CCFI）</t>
        </is>
      </c>
      <c r="D44" s="39" t="inlineStr">
        <is>
          <t>&lt;600或&gt;2500</t>
        </is>
      </c>
      <c r="E44" s="39" t="inlineStr">
        <is>
          <t>600-900或2000-2500</t>
        </is>
      </c>
      <c r="F44" s="39" t="inlineStr">
        <is>
          <t>900-1100或1600-2000</t>
        </is>
      </c>
      <c r="G44" s="39" t="inlineStr">
        <is>
          <t>1100-1600 正常</t>
        </is>
      </c>
      <c r="H44" s="39" t="inlineStr">
        <is>
          <t>-- 适中最好</t>
        </is>
      </c>
      <c r="I44" s="39" t="inlineStr">
        <is>
          <t>偏标准</t>
        </is>
      </c>
      <c r="J44" s="39" t="inlineStr">
        <is>
          <t>正常区间900-1600</t>
        </is>
      </c>
    </row>
    <row r="45" ht="31" customHeight="1">
      <c r="A45" s="40" t="inlineStr">
        <is>
          <t>金融信贷</t>
        </is>
      </c>
      <c r="B45" s="40" t="inlineStr">
        <is>
          <t>信贷结构</t>
        </is>
      </c>
      <c r="C45" s="40" t="inlineStr">
        <is>
          <t>居民户短期贷款增量（亿元）</t>
        </is>
      </c>
      <c r="D45" s="40" t="inlineStr">
        <is>
          <t>同比少增&gt;=2000亿</t>
        </is>
      </c>
      <c r="E45" s="40" t="inlineStr">
        <is>
          <t>同比少增1000-2000亿</t>
        </is>
      </c>
      <c r="F45" s="40" t="inlineStr">
        <is>
          <t>同比少增0-1000亿</t>
        </is>
      </c>
      <c r="G45" s="40" t="inlineStr">
        <is>
          <t>同比多增0-1000亿</t>
        </is>
      </c>
      <c r="H45" s="40" t="inlineStr">
        <is>
          <t>同比多增&gt;=1000亿</t>
        </is>
      </c>
      <c r="I45" s="40" t="inlineStr">
        <is>
          <t>方向信号</t>
        </is>
      </c>
      <c r="J45" s="40" t="inlineStr">
        <is>
          <t>反映消费信贷需求</t>
        </is>
      </c>
    </row>
    <row r="46" ht="31" customHeight="1">
      <c r="A46" s="39" t="inlineStr">
        <is>
          <t>金融信贷</t>
        </is>
      </c>
      <c r="B46" s="39" t="inlineStr">
        <is>
          <t>信贷结构</t>
        </is>
      </c>
      <c r="C46" s="39" t="inlineStr">
        <is>
          <t>居民户中长期贷款增量（亿元）</t>
        </is>
      </c>
      <c r="D46" s="39" t="inlineStr">
        <is>
          <t>同比少增&gt;=3000亿</t>
        </is>
      </c>
      <c r="E46" s="39" t="inlineStr">
        <is>
          <t>同比少增1500-3000亿</t>
        </is>
      </c>
      <c r="F46" s="39" t="inlineStr">
        <is>
          <t>同比少增0-1500亿</t>
        </is>
      </c>
      <c r="G46" s="39" t="inlineStr">
        <is>
          <t>同比多增0-1500亿</t>
        </is>
      </c>
      <c r="H46" s="39" t="inlineStr">
        <is>
          <t>同比多增&gt;=1500亿</t>
        </is>
      </c>
      <c r="I46" s="39" t="inlineStr">
        <is>
          <t>方向信号</t>
        </is>
      </c>
      <c r="J46" s="39" t="inlineStr">
        <is>
          <t>主要反映房贷需求</t>
        </is>
      </c>
    </row>
    <row r="47" ht="31" customHeight="1">
      <c r="A47" s="40" t="inlineStr">
        <is>
          <t>金融信贷</t>
        </is>
      </c>
      <c r="B47" s="40" t="inlineStr">
        <is>
          <t>信贷结构</t>
        </is>
      </c>
      <c r="C47" s="40" t="inlineStr">
        <is>
          <t>非金融企业短期贷款增量（亿元）</t>
        </is>
      </c>
      <c r="D47" s="40" t="inlineStr">
        <is>
          <t>同比少增&gt;=2000亿</t>
        </is>
      </c>
      <c r="E47" s="40" t="inlineStr">
        <is>
          <t>同比少增1000-2000亿</t>
        </is>
      </c>
      <c r="F47" s="40" t="inlineStr">
        <is>
          <t>同比少增0-1000亿</t>
        </is>
      </c>
      <c r="G47" s="40" t="inlineStr">
        <is>
          <t>同比多增0-1500亿</t>
        </is>
      </c>
      <c r="H47" s="40" t="inlineStr">
        <is>
          <t>同比多增&gt;=1500亿</t>
        </is>
      </c>
      <c r="I47" s="40" t="inlineStr">
        <is>
          <t>方向信号</t>
        </is>
      </c>
      <c r="J47" s="40" t="inlineStr">
        <is>
          <t>反映企业周转资金需求</t>
        </is>
      </c>
    </row>
    <row r="48" ht="31" customHeight="1">
      <c r="A48" s="39" t="inlineStr">
        <is>
          <t>金融信贷</t>
        </is>
      </c>
      <c r="B48" s="39" t="inlineStr">
        <is>
          <t>信贷结构</t>
        </is>
      </c>
      <c r="C48" s="39" t="inlineStr">
        <is>
          <t>非金融企业中长期贷款增量（亿元）</t>
        </is>
      </c>
      <c r="D48" s="39" t="inlineStr">
        <is>
          <t>同比少增&gt;=3000亿</t>
        </is>
      </c>
      <c r="E48" s="39" t="inlineStr">
        <is>
          <t>同比少增1500-3000亿</t>
        </is>
      </c>
      <c r="F48" s="39" t="inlineStr">
        <is>
          <t>同比少增0-2000亿</t>
        </is>
      </c>
      <c r="G48" s="39" t="inlineStr">
        <is>
          <t>同比多增0-2000亿</t>
        </is>
      </c>
      <c r="H48" s="39" t="inlineStr">
        <is>
          <t>同比多增&gt;=2000亿</t>
        </is>
      </c>
      <c r="I48" s="39" t="inlineStr">
        <is>
          <t>方向信号</t>
        </is>
      </c>
      <c r="J48" s="39" t="inlineStr">
        <is>
          <t>反映企业资本开支意愿</t>
        </is>
      </c>
    </row>
    <row r="49" ht="31" customHeight="1">
      <c r="A49" s="40" t="inlineStr">
        <is>
          <t>金融信贷</t>
        </is>
      </c>
      <c r="B49" s="40" t="inlineStr">
        <is>
          <t>社融货币</t>
        </is>
      </c>
      <c r="C49" s="40" t="inlineStr">
        <is>
          <t>社融规模存量增速（%）</t>
        </is>
      </c>
      <c r="D49" s="40" t="inlineStr">
        <is>
          <t>&lt;7.0% 信用收缩</t>
        </is>
      </c>
      <c r="E49" s="40" t="inlineStr">
        <is>
          <t>7.0-8.5% 偏低</t>
        </is>
      </c>
      <c r="F49" s="40" t="inlineStr">
        <is>
          <t>8.5-10.0% 正常</t>
        </is>
      </c>
      <c r="G49" s="40" t="inlineStr">
        <is>
          <t>10.0-12.0% 偏强</t>
        </is>
      </c>
      <c r="H49" s="40" t="inlineStr">
        <is>
          <t>&gt;=12.0% 强扩张</t>
        </is>
      </c>
      <c r="I49" s="40" t="inlineStr">
        <is>
          <t>单调递增</t>
        </is>
      </c>
      <c r="J49" s="40" t="inlineStr">
        <is>
          <t>8-10%为近年正常区间</t>
        </is>
      </c>
    </row>
    <row r="50" ht="31" customHeight="1">
      <c r="A50" s="39" t="inlineStr">
        <is>
          <t>金融信贷</t>
        </is>
      </c>
      <c r="B50" s="39" t="inlineStr">
        <is>
          <t>社融货币</t>
        </is>
      </c>
      <c r="C50" s="39" t="inlineStr">
        <is>
          <t>人民币贷款存量增速（%）</t>
        </is>
      </c>
      <c r="D50" s="39" t="inlineStr">
        <is>
          <t>&lt;7.0% 收缩</t>
        </is>
      </c>
      <c r="E50" s="39" t="inlineStr">
        <is>
          <t>7.0-9.0% 偏低</t>
        </is>
      </c>
      <c r="F50" s="39" t="inlineStr">
        <is>
          <t>9.0-11.0% 正常</t>
        </is>
      </c>
      <c r="G50" s="39" t="inlineStr">
        <is>
          <t>11.0-13.0% 偏强</t>
        </is>
      </c>
      <c r="H50" s="39" t="inlineStr">
        <is>
          <t>&gt;=13.0% 强扩张</t>
        </is>
      </c>
      <c r="I50" s="39" t="inlineStr">
        <is>
          <t>单调递增</t>
        </is>
      </c>
      <c r="J50" s="39" t="inlineStr">
        <is>
          <t>贷款增速略高于社融增速</t>
        </is>
      </c>
    </row>
    <row r="51" ht="31" customHeight="1">
      <c r="A51" s="40" t="inlineStr">
        <is>
          <t>金融信贷</t>
        </is>
      </c>
      <c r="B51" s="40" t="inlineStr">
        <is>
          <t>货币供给</t>
        </is>
      </c>
      <c r="C51" s="40" t="inlineStr">
        <is>
          <t>M0增速（%）</t>
        </is>
      </c>
      <c r="D51" s="40" t="inlineStr">
        <is>
          <t>&lt;2.0%或&gt;18.0%</t>
        </is>
      </c>
      <c r="E51" s="40" t="inlineStr">
        <is>
          <t>2.0-4.0%或14.0-18.0%</t>
        </is>
      </c>
      <c r="F51" s="40" t="inlineStr">
        <is>
          <t>4.0-6.0%或10.0-14.0%</t>
        </is>
      </c>
      <c r="G51" s="40" t="inlineStr">
        <is>
          <t>6.0-8.0% 正常</t>
        </is>
      </c>
      <c r="H51" s="40" t="inlineStr">
        <is>
          <t>8.0-10.0% 偏强</t>
        </is>
      </c>
      <c r="I51" s="40" t="inlineStr">
        <is>
          <t>偏标准</t>
        </is>
      </c>
      <c r="J51" s="40" t="inlineStr">
        <is>
          <t>M0反映流通中现金</t>
        </is>
      </c>
    </row>
    <row r="52" ht="31" customHeight="1">
      <c r="A52" s="39" t="inlineStr">
        <is>
          <t>金融信贷</t>
        </is>
      </c>
      <c r="B52" s="39" t="inlineStr">
        <is>
          <t>货币供给</t>
        </is>
      </c>
      <c r="C52" s="39" t="inlineStr">
        <is>
          <t>M1增速（%）</t>
        </is>
      </c>
      <c r="D52" s="39" t="inlineStr">
        <is>
          <t>&lt;2.0% 活化极低</t>
        </is>
      </c>
      <c r="E52" s="39" t="inlineStr">
        <is>
          <t>2.0-4.0% 偏低</t>
        </is>
      </c>
      <c r="F52" s="39" t="inlineStr">
        <is>
          <t>4.0-6.0% 正常</t>
        </is>
      </c>
      <c r="G52" s="39" t="inlineStr">
        <is>
          <t>6.0-9.0% 偏强</t>
        </is>
      </c>
      <c r="H52" s="39" t="inlineStr">
        <is>
          <t>&gt;=9.0% 强活化</t>
        </is>
      </c>
      <c r="I52" s="39" t="inlineStr">
        <is>
          <t>单调递增</t>
        </is>
      </c>
      <c r="J52" s="39" t="inlineStr">
        <is>
          <t>M1反映企业活期存款</t>
        </is>
      </c>
    </row>
    <row r="53" ht="31" customHeight="1">
      <c r="A53" s="40" t="inlineStr">
        <is>
          <t>金融信贷</t>
        </is>
      </c>
      <c r="B53" s="40" t="inlineStr">
        <is>
          <t>货币供给</t>
        </is>
      </c>
      <c r="C53" s="40" t="inlineStr">
        <is>
          <t>M2增速（%）</t>
        </is>
      </c>
      <c r="D53" s="40" t="inlineStr">
        <is>
          <t>&lt;6.0% 偏紧</t>
        </is>
      </c>
      <c r="E53" s="40" t="inlineStr">
        <is>
          <t>6.0-8.0% 偏低</t>
        </is>
      </c>
      <c r="F53" s="40" t="inlineStr">
        <is>
          <t>8.0-10.0% 正常</t>
        </is>
      </c>
      <c r="G53" s="40" t="inlineStr">
        <is>
          <t>10.0-12.0% 偏强</t>
        </is>
      </c>
      <c r="H53" s="40" t="inlineStr">
        <is>
          <t>&gt;=12.0% 强扩张</t>
        </is>
      </c>
      <c r="I53" s="40" t="inlineStr">
        <is>
          <t>单调递增</t>
        </is>
      </c>
      <c r="J53" s="40" t="inlineStr">
        <is>
          <t>M2与名义GDP匹配最优</t>
        </is>
      </c>
    </row>
    <row r="54" ht="31" customHeight="1">
      <c r="A54" s="39" t="inlineStr">
        <is>
          <t>金融信贷</t>
        </is>
      </c>
      <c r="B54" s="39" t="inlineStr">
        <is>
          <t>货币供给</t>
        </is>
      </c>
      <c r="C54" s="39" t="inlineStr">
        <is>
          <t>M1-M2剪刀差</t>
        </is>
      </c>
      <c r="D54" s="39" t="inlineStr">
        <is>
          <t>&lt;-5pct 深度固化</t>
        </is>
      </c>
      <c r="E54" s="39" t="inlineStr">
        <is>
          <t>-5~-2pct 偏低</t>
        </is>
      </c>
      <c r="F54" s="39" t="inlineStr">
        <is>
          <t>-2~1pct 正常</t>
        </is>
      </c>
      <c r="G54" s="39" t="inlineStr">
        <is>
          <t>1-3pct 偏强</t>
        </is>
      </c>
      <c r="H54" s="39" t="inlineStr">
        <is>
          <t>&gt;=3pct 强活化</t>
        </is>
      </c>
      <c r="I54" s="39" t="inlineStr">
        <is>
          <t>绝对值递减最优</t>
        </is>
      </c>
      <c r="J54" s="39" t="inlineStr">
        <is>
          <t>剪刀差收窄反映活化改善</t>
        </is>
      </c>
    </row>
    <row r="55" ht="31" customHeight="1">
      <c r="A55" s="40" t="inlineStr">
        <is>
          <t>政策制度</t>
        </is>
      </c>
      <c r="B55" s="40" t="inlineStr">
        <is>
          <t>产业政策</t>
        </is>
      </c>
      <c r="C55" s="40" t="inlineStr">
        <is>
          <t>资本市场核心会议跟踪</t>
        </is>
      </c>
      <c r="D55" s="40" t="inlineStr">
        <is>
          <t>重大政策利空密集</t>
        </is>
      </c>
      <c r="E55" s="40" t="inlineStr">
        <is>
          <t>政策偏紧或不确定性高</t>
        </is>
      </c>
      <c r="F55" s="40" t="inlineStr">
        <is>
          <t>政策中性</t>
        </is>
      </c>
      <c r="G55" s="40" t="inlineStr">
        <is>
          <t>有积极政策信号</t>
        </is>
      </c>
      <c r="H55" s="40" t="inlineStr">
        <is>
          <t>重大利好政策密集</t>
        </is>
      </c>
      <c r="I55" s="40" t="inlineStr">
        <is>
          <t>定性打分</t>
        </is>
      </c>
      <c r="J55" s="40" t="inlineStr">
        <is>
          <t>参考会议跟踪文件定性判断</t>
        </is>
      </c>
    </row>
    <row r="56" ht="31" customHeight="1">
      <c r="A56" s="39" t="inlineStr">
        <is>
          <t>政策制度</t>
        </is>
      </c>
      <c r="B56" s="39" t="inlineStr">
        <is>
          <t>财政政策</t>
        </is>
      </c>
      <c r="C56" s="39" t="inlineStr">
        <is>
          <t>财政赤字率（%）</t>
        </is>
      </c>
      <c r="D56" s="39" t="inlineStr">
        <is>
          <t>&gt;5.0% 可持续性担忧</t>
        </is>
      </c>
      <c r="E56" s="39" t="inlineStr">
        <is>
          <t>4.0-5.0% 偏高</t>
        </is>
      </c>
      <c r="F56" s="39" t="inlineStr">
        <is>
          <t>3.0-4.0% 积极可控</t>
        </is>
      </c>
      <c r="G56" s="39" t="inlineStr">
        <is>
          <t>2.5-3.0% 适度积极</t>
        </is>
      </c>
      <c r="H56" s="39" t="inlineStr">
        <is>
          <t>&lt;2.5% 偏保守</t>
        </is>
      </c>
      <c r="I56" s="39" t="inlineStr">
        <is>
          <t>倒U型</t>
        </is>
      </c>
      <c r="J56" s="39" t="inlineStr">
        <is>
          <t>3.0-3.5%为最优积极区间</t>
        </is>
      </c>
    </row>
    <row r="57" ht="31" customHeight="1">
      <c r="A57" s="40" t="inlineStr">
        <is>
          <t>政策制度</t>
        </is>
      </c>
      <c r="B57" s="40" t="inlineStr">
        <is>
          <t>财政政策</t>
        </is>
      </c>
      <c r="C57" s="40" t="inlineStr">
        <is>
          <t>全国公共财政收入增速（%）</t>
        </is>
      </c>
      <c r="D57" s="40" t="inlineStr">
        <is>
          <t>&lt;0.0% 收入下滑</t>
        </is>
      </c>
      <c r="E57" s="40" t="inlineStr">
        <is>
          <t>0.0-2.0% 偏低</t>
        </is>
      </c>
      <c r="F57" s="40" t="inlineStr">
        <is>
          <t>2.0-4.0% 正常</t>
        </is>
      </c>
      <c r="G57" s="40" t="inlineStr">
        <is>
          <t>4.0-6.0% 偏强</t>
        </is>
      </c>
      <c r="H57" s="40" t="inlineStr">
        <is>
          <t>&gt;=6.0% 强增长</t>
        </is>
      </c>
      <c r="I57" s="40" t="inlineStr">
        <is>
          <t>单调递增</t>
        </is>
      </c>
      <c r="J57" s="40" t="inlineStr">
        <is>
          <t>收入增长反映经济税基健康</t>
        </is>
      </c>
    </row>
    <row r="58" ht="31" customHeight="1">
      <c r="A58" s="39" t="inlineStr">
        <is>
          <t>政策制度</t>
        </is>
      </c>
      <c r="B58" s="39" t="inlineStr">
        <is>
          <t>财政政策</t>
        </is>
      </c>
      <c r="C58" s="39" t="inlineStr">
        <is>
          <t>全国公共财政支出增速（%）</t>
        </is>
      </c>
      <c r="D58" s="39" t="inlineStr">
        <is>
          <t>&lt;0.0% 支出收缩</t>
        </is>
      </c>
      <c r="E58" s="39" t="inlineStr">
        <is>
          <t>0.0-2.0% 偏低</t>
        </is>
      </c>
      <c r="F58" s="39" t="inlineStr">
        <is>
          <t>2.0-4.0% 正常</t>
        </is>
      </c>
      <c r="G58" s="39" t="inlineStr">
        <is>
          <t>4.0-6.0% 积极</t>
        </is>
      </c>
      <c r="H58" s="39" t="inlineStr">
        <is>
          <t>&gt;=6.0% 强积极</t>
        </is>
      </c>
      <c r="I58" s="39" t="inlineStr">
        <is>
          <t>单调递增</t>
        </is>
      </c>
      <c r="J58" s="39" t="inlineStr">
        <is>
          <t>支出高增长反映财政托底力度</t>
        </is>
      </c>
    </row>
    <row r="59" ht="31" customHeight="1">
      <c r="A59" s="40" t="inlineStr">
        <is>
          <t>政策制度</t>
        </is>
      </c>
      <c r="B59" s="40" t="inlineStr">
        <is>
          <t>货币政策</t>
        </is>
      </c>
      <c r="C59" s="40" t="inlineStr">
        <is>
          <t>1年期MLF利率（%）</t>
        </is>
      </c>
      <c r="D59" s="40" t="inlineStr">
        <is>
          <t>&gt;2.8% 偏紧</t>
        </is>
      </c>
      <c r="E59" s="40" t="inlineStr">
        <is>
          <t>2.3-2.8% 中性偏紧</t>
        </is>
      </c>
      <c r="F59" s="40" t="inlineStr">
        <is>
          <t>1.8-2.3% 中性</t>
        </is>
      </c>
      <c r="G59" s="40" t="inlineStr">
        <is>
          <t>1.3-1.8% 偏松</t>
        </is>
      </c>
      <c r="H59" s="40" t="inlineStr">
        <is>
          <t>&lt;1.3% 极度宽松</t>
        </is>
      </c>
      <c r="I59" s="40" t="inlineStr">
        <is>
          <t>单调递减</t>
        </is>
      </c>
      <c r="J59" s="40" t="inlineStr">
        <is>
          <t>利率越低政策越宽松</t>
        </is>
      </c>
    </row>
    <row r="60" ht="31" customHeight="1">
      <c r="A60" s="39" t="inlineStr">
        <is>
          <t>政策制度</t>
        </is>
      </c>
      <c r="B60" s="39" t="inlineStr">
        <is>
          <t>货币政策</t>
        </is>
      </c>
      <c r="C60" s="39" t="inlineStr">
        <is>
          <t>1年期LPR（%）</t>
        </is>
      </c>
      <c r="D60" s="39" t="inlineStr">
        <is>
          <t>&gt;3.5% 偏紧</t>
        </is>
      </c>
      <c r="E60" s="39" t="inlineStr">
        <is>
          <t>3.0-3.5% 中性偏紧</t>
        </is>
      </c>
      <c r="F60" s="39" t="inlineStr">
        <is>
          <t>2.5-3.0% 中性</t>
        </is>
      </c>
      <c r="G60" s="39" t="inlineStr">
        <is>
          <t>2.0-2.5% 偏松</t>
        </is>
      </c>
      <c r="H60" s="39" t="inlineStr">
        <is>
          <t>&lt;2.0% 极度宽松</t>
        </is>
      </c>
      <c r="I60" s="39" t="inlineStr">
        <is>
          <t>单调递减</t>
        </is>
      </c>
      <c r="J60" s="39" t="inlineStr">
        <is>
          <t>房贷和企业贷款基准</t>
        </is>
      </c>
    </row>
    <row r="61" ht="31" customHeight="1">
      <c r="A61" s="40" t="inlineStr">
        <is>
          <t>政策制度</t>
        </is>
      </c>
      <c r="B61" s="40" t="inlineStr">
        <is>
          <t>货币政策</t>
        </is>
      </c>
      <c r="C61" s="40" t="inlineStr">
        <is>
          <t>5年期以上LPR（%）</t>
        </is>
      </c>
      <c r="D61" s="40" t="inlineStr">
        <is>
          <t>&gt;4.0% 偏紧</t>
        </is>
      </c>
      <c r="E61" s="40" t="inlineStr">
        <is>
          <t>3.5-4.0% 中性偏紧</t>
        </is>
      </c>
      <c r="F61" s="40" t="inlineStr">
        <is>
          <t>3.0-3.5% 中性</t>
        </is>
      </c>
      <c r="G61" s="40" t="inlineStr">
        <is>
          <t>2.5-3.0% 偏松</t>
        </is>
      </c>
      <c r="H61" s="40" t="inlineStr">
        <is>
          <t>&lt;2.5% 极度宽松</t>
        </is>
      </c>
      <c r="I61" s="40" t="inlineStr">
        <is>
          <t>单调递减</t>
        </is>
      </c>
      <c r="J61" s="40" t="inlineStr">
        <is>
          <t>房贷定价基准</t>
        </is>
      </c>
    </row>
    <row r="62" ht="31" customHeight="1">
      <c r="A62" s="39" t="inlineStr">
        <is>
          <t>政策制度</t>
        </is>
      </c>
      <c r="B62" s="39" t="inlineStr">
        <is>
          <t>货币政策</t>
        </is>
      </c>
      <c r="C62" s="39" t="inlineStr">
        <is>
          <t>DR007（%）</t>
        </is>
      </c>
      <c r="D62" s="39" t="inlineStr">
        <is>
          <t>&gt;2.5% 偏紧</t>
        </is>
      </c>
      <c r="E62" s="39" t="inlineStr">
        <is>
          <t>2.0-2.5% 中性偏紧</t>
        </is>
      </c>
      <c r="F62" s="39" t="inlineStr">
        <is>
          <t>1.5-2.0% 中性</t>
        </is>
      </c>
      <c r="G62" s="39" t="inlineStr">
        <is>
          <t>1.0-1.5% 偏松</t>
        </is>
      </c>
      <c r="H62" s="39" t="inlineStr">
        <is>
          <t>&lt;1.0% 极度宽松</t>
        </is>
      </c>
      <c r="I62" s="39" t="inlineStr">
        <is>
          <t>单调递减</t>
        </is>
      </c>
      <c r="J62" s="39" t="inlineStr">
        <is>
          <t>银行间7天回购利率</t>
        </is>
      </c>
    </row>
    <row r="63" ht="31" customHeight="1">
      <c r="A63" s="40" t="inlineStr">
        <is>
          <t>政策制度</t>
        </is>
      </c>
      <c r="B63" s="40" t="inlineStr">
        <is>
          <t>货币政策</t>
        </is>
      </c>
      <c r="C63" s="40" t="inlineStr">
        <is>
          <t>R007（%）</t>
        </is>
      </c>
      <c r="D63" s="40" t="inlineStr">
        <is>
          <t>&gt;2.8% 偏紧</t>
        </is>
      </c>
      <c r="E63" s="40" t="inlineStr">
        <is>
          <t>2.2-2.8% 中性偏紧</t>
        </is>
      </c>
      <c r="F63" s="40" t="inlineStr">
        <is>
          <t>1.7-2.2% 中性</t>
        </is>
      </c>
      <c r="G63" s="40" t="inlineStr">
        <is>
          <t>1.2-1.7% 偏松</t>
        </is>
      </c>
      <c r="H63" s="40" t="inlineStr">
        <is>
          <t>&lt;1.2% 极度宽松</t>
        </is>
      </c>
      <c r="I63" s="40" t="inlineStr">
        <is>
          <t>单调递减</t>
        </is>
      </c>
      <c r="J63" s="40" t="inlineStr">
        <is>
          <t>全市场7天回购利率</t>
        </is>
      </c>
    </row>
    <row r="64" ht="31" customHeight="1">
      <c r="A64" s="39" t="inlineStr">
        <is>
          <t>政策制度</t>
        </is>
      </c>
      <c r="B64" s="39" t="inlineStr">
        <is>
          <t>货币政策</t>
        </is>
      </c>
      <c r="C64" s="39" t="inlineStr">
        <is>
          <t>10年期国债收益率（%）</t>
        </is>
      </c>
      <c r="D64" s="39" t="inlineStr">
        <is>
          <t>&gt;3.5%偏紧或&lt;1.0%极度弱势</t>
        </is>
      </c>
      <c r="E64" s="39" t="inlineStr">
        <is>
          <t>1.0-1.5%或2.8-3.5%</t>
        </is>
      </c>
      <c r="F64" s="39" t="inlineStr">
        <is>
          <t>1.5-1.8%或2.2-2.8%</t>
        </is>
      </c>
      <c r="G64" s="39" t="inlineStr">
        <is>
          <t>1.8-2.2%温和偏低</t>
        </is>
      </c>
      <c r="H64" s="39" t="inlineStr">
        <is>
          <t>2.2-2.8%健康均衡</t>
        </is>
      </c>
      <c r="I64" s="39" t="inlineStr">
        <is>
          <t>倒U型</t>
        </is>
      </c>
      <c r="J64" s="39" t="inlineStr">
        <is>
          <t>2.2-2.8%为健康均衡水平</t>
        </is>
      </c>
    </row>
    <row r="65" ht="31" customHeight="1">
      <c r="A65" s="40" t="inlineStr">
        <is>
          <t>政策制度</t>
        </is>
      </c>
      <c r="B65" s="40" t="inlineStr">
        <is>
          <t>货币政策</t>
        </is>
      </c>
      <c r="C65" s="40" t="inlineStr">
        <is>
          <t>1年期国债收益率（%）</t>
        </is>
      </c>
      <c r="D65" s="40" t="inlineStr">
        <is>
          <t>&gt;2.5%偏紧或&lt;0.5%极度弱势</t>
        </is>
      </c>
      <c r="E65" s="40" t="inlineStr">
        <is>
          <t>0.5-1.0%或2.0-2.5%</t>
        </is>
      </c>
      <c r="F65" s="40" t="inlineStr">
        <is>
          <t>1.0-1.3%或1.7-2.0%</t>
        </is>
      </c>
      <c r="G65" s="40" t="inlineStr">
        <is>
          <t>1.3-1.7%温和偏低</t>
        </is>
      </c>
      <c r="H65" s="40" t="inlineStr">
        <is>
          <t>1.7-2.0%偏低</t>
        </is>
      </c>
      <c r="I65" s="40" t="inlineStr">
        <is>
          <t>倒U型</t>
        </is>
      </c>
      <c r="J65" s="40" t="inlineStr">
        <is>
          <t>短端收益率倒U型</t>
        </is>
      </c>
    </row>
    <row r="66" ht="31" customHeight="1">
      <c r="A66" s="39" t="inlineStr">
        <is>
          <t>政策制度</t>
        </is>
      </c>
      <c r="B66" s="39" t="inlineStr">
        <is>
          <t>货币政策</t>
        </is>
      </c>
      <c r="C66" s="39" t="inlineStr">
        <is>
          <t>期限利差（10Y-1Y，bp）</t>
        </is>
      </c>
      <c r="D66" s="39" t="inlineStr">
        <is>
          <t>&lt;0bp倒挂或&gt;200bp过陡</t>
        </is>
      </c>
      <c r="E66" s="39" t="inlineStr">
        <is>
          <t>0-20bp或160-200bp</t>
        </is>
      </c>
      <c r="F66" s="39" t="inlineStr">
        <is>
          <t>20-40bp或130-160bp</t>
        </is>
      </c>
      <c r="G66" s="39" t="inlineStr">
        <is>
          <t>40-80bp健康正斜率</t>
        </is>
      </c>
      <c r="H66" s="39" t="inlineStr">
        <is>
          <t>80-130bp偏陡可接受</t>
        </is>
      </c>
      <c r="I66" s="39" t="inlineStr">
        <is>
          <t>倒U型</t>
        </is>
      </c>
      <c r="J66" s="39" t="inlineStr">
        <is>
          <t>健康正斜率40-100bp</t>
        </is>
      </c>
    </row>
    <row r="67" ht="31" customHeight="1">
      <c r="A67" s="40" t="inlineStr">
        <is>
          <t>政策制度</t>
        </is>
      </c>
      <c r="B67" s="40" t="inlineStr">
        <is>
          <t>货币政策</t>
        </is>
      </c>
      <c r="C67" s="40" t="inlineStr">
        <is>
          <t>信用利差（AAA企业债-国债，bp）</t>
        </is>
      </c>
      <c r="D67" s="40" t="inlineStr">
        <is>
          <t>&gt;200bp信用紧缩</t>
        </is>
      </c>
      <c r="E67" s="40" t="inlineStr">
        <is>
          <t>150-200bp偏高</t>
        </is>
      </c>
      <c r="F67" s="40" t="inlineStr">
        <is>
          <t>100-150bp正常</t>
        </is>
      </c>
      <c r="G67" s="40" t="inlineStr">
        <is>
          <t>60-100bp偏窄</t>
        </is>
      </c>
      <c r="H67" s="40" t="inlineStr">
        <is>
          <t>30-60bp极窄风险定价不足</t>
        </is>
      </c>
      <c r="I67" s="40" t="inlineStr">
        <is>
          <t>倒U型</t>
        </is>
      </c>
      <c r="J67" s="40" t="inlineStr">
        <is>
          <t>利差收窄反映信用环境友好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2026-10-02T08:23:28Z</dcterms:created>
  <dcterms:modified xmlns:dcterms="http://purl.org/dc/terms/" xmlns:xsi="http://www.w3.org/2001/XMLSchema-instance" xsi:type="dcterms:W3CDTF">2026-10-02T08:23:29Z</dcterms:modified>
</cp:coreProperties>
</file>